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592c6f7b6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8d8d0f4750d4424"/>
    <x:sheet xmlns:r="http://schemas.openxmlformats.org/officeDocument/2006/relationships" name="RAID" sheetId="2" r:id="Rfb707c7a0df54e0e"/>
    <x:sheet xmlns:r="http://schemas.openxmlformats.org/officeDocument/2006/relationships" name="Inventory" sheetId="3" r:id="Ra91f5220626c45e5"/>
    <x:sheet xmlns:r="http://schemas.openxmlformats.org/officeDocument/2006/relationships" name="App Readiness" sheetId="4" r:id="R6671d57e62d44616"/>
    <x:sheet xmlns:r="http://schemas.openxmlformats.org/officeDocument/2006/relationships" name="Deployment Waves" sheetId="5" r:id="Ra60b6c543f994efc"/>
    <x:sheet xmlns:r="http://schemas.openxmlformats.org/officeDocument/2006/relationships" name="Data Validation" sheetId="6" r:id="Ra39373ea11fa4a94"/>
    <x:sheet xmlns:r="http://schemas.openxmlformats.org/officeDocument/2006/relationships" name="Sanitization" sheetId="7" r:id="Rb79f8b060335445c"/>
    <x:sheet xmlns:r="http://schemas.openxmlformats.org/officeDocument/2006/relationships" name="Exceptions" sheetId="8" r:id="R934cb0588e5145b4"/>
    <x:sheet xmlns:r="http://schemas.openxmlformats.org/officeDocument/2006/relationships" name="Budget" sheetId="9" r:id="Rd39dfbe0f237429f"/>
    <x:sheet xmlns:r="http://schemas.openxmlformats.org/officeDocument/2006/relationships" name="Sources" sheetId="10" r:id="Reff17d42372d43c2"/>
    <x:sheet xmlns:r="http://schemas.openxmlformats.org/officeDocument/2006/relationships" name="Template Blank" sheetId="11" r:id="Rae014edfcad14635"/>
    <x:sheet xmlns:r="http://schemas.openxmlformats.org/officeDocument/2006/relationships" name="Kanban Dashboard" sheetId="12" r:id="Rf3ce225bd371488b"/>
    <x:sheet xmlns:r="http://schemas.openxmlformats.org/officeDocument/2006/relationships" name="Scrum Dashboard" sheetId="13" r:id="R7f9182a9fdf644fb"/>
    <x:sheet xmlns:r="http://schemas.openxmlformats.org/officeDocument/2006/relationships" name="Predictive Dashboard" sheetId="14" r:id="Rb96402132dce4ad5"/>
    <x:sheet xmlns:r="http://schemas.openxmlformats.org/officeDocument/2006/relationships" name="Hybrid Dashboard" sheetId="15" r:id="R233e321eeac8417c"/>
    <x:sheet xmlns:r="http://schemas.openxmlformats.org/officeDocument/2006/relationships" name="Portfolio Summary" sheetId="16" r:id="R049ecbda3b48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-$#,##0"/>
    <x:numFmt numFmtId="201" formatCode="0"/>
    <x:numFmt numFmtId="202" formatCode="0.0"/>
    <x:numFmt numFmtId="203" formatCode="0.0%"/>
    <x:numFmt numFmtId="204" formatCode="0.00"/>
    <x:numFmt numFmtId="205" formatCode="$#,##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9"/>
      <x:color rgb="FF5B6670"/>
      <x:name val="Carlito"/>
    </x:font>
    <x:font>
      <x:b/>
      <x:sz val="9"/>
      <x:color rgb="FFFFFFFF"/>
      <x:name val="Carlito"/>
    </x:font>
    <x:font>
      <x:sz val="9"/>
      <x:color rgb="FF17212B"/>
      <x:name val="Carlito"/>
    </x:font>
    <x:font>
      <x:b/>
      <x:sz val="11"/>
      <x:color rgb="FFFFFFFF"/>
      <x:name val="Carlito"/>
    </x:font>
    <x:font>
      <x:b/>
      <x:sz val="11"/>
      <x:color rgb="FF0735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352B"/>
      </x:patternFill>
    </x:fill>
    <x:fill>
      <x:patternFill patternType="solid">
        <x:fgColor rgb="FFE8F3F5"/>
      </x:patternFill>
    </x:fill>
    <x:fill>
      <x:patternFill patternType="solid">
        <x:fgColor rgb="FF17627D"/>
      </x:patternFill>
    </x:fill>
    <x:fill>
      <x:patternFill patternType="solid">
        <x:fgColor rgb="FFFFFFFF"/>
      </x:patternFill>
    </x:fill>
    <x:fill>
      <x:patternFill patternType="solid">
        <x:fgColor rgb="FFFFF0CE"/>
      </x:patternFill>
    </x:fill>
  </x:fills>
  <x:borders count="7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201" fontId="0" fillId="5" borderId="3" xfId="0" applyNumberFormat="1" applyFont="1" applyFill="1" applyBorder="1"/>
    <x:xf numFmtId="201" fontId="0" fillId="5" borderId="6" xfId="0" applyNumberFormat="1" applyFont="1" applyFill="1" applyBorder="1"/>
    <x:xf numFmtId="202" fontId="0" fillId="5" borderId="6" xfId="0" applyNumberFormat="1" applyFont="1" applyFill="1" applyBorder="1"/>
    <x:xf numFmtId="203" fontId="0" fillId="5" borderId="6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3" fontId="0" fillId="5" borderId="3" xfId="0" applyNumberFormat="1" applyFont="1" applyFill="1" applyBorder="1"/>
    <x:xf numFmtId="204" fontId="0" fillId="5" borderId="3" xfId="0" applyNumberFormat="1" applyFont="1" applyFill="1" applyBorder="1"/>
    <x:xf numFmtId="204" fontId="0" fillId="5" borderId="6" xfId="0" applyNumberFormat="1" applyFont="1" applyFill="1" applyBorder="1"/>
    <x:xf numFmtId="205" fontId="0" fillId="5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37fe364de44d9" /><Relationship Type="http://schemas.openxmlformats.org/officeDocument/2006/relationships/theme" Target="/xl/theme/theme1.xml" Id="Rf6b0dcdd899d487b" /><Relationship Type="http://schemas.openxmlformats.org/officeDocument/2006/relationships/sharedStrings" Target="/xl/sharedStrings.xml" Id="R40ad3dd02b6d4573" /><Relationship Type="http://schemas.openxmlformats.org/officeDocument/2006/relationships/worksheet" Target="/xl/worksheets/sheet1.xml" Id="R68d8d0f4750d4424" /><Relationship Type="http://schemas.openxmlformats.org/officeDocument/2006/relationships/worksheet" Target="/xl/worksheets/sheet2.xml" Id="Rfb707c7a0df54e0e" /><Relationship Type="http://schemas.openxmlformats.org/officeDocument/2006/relationships/worksheet" Target="/xl/worksheets/sheet3.xml" Id="Ra91f5220626c45e5" /><Relationship Type="http://schemas.openxmlformats.org/officeDocument/2006/relationships/worksheet" Target="/xl/worksheets/sheet4.xml" Id="R6671d57e62d44616" /><Relationship Type="http://schemas.openxmlformats.org/officeDocument/2006/relationships/worksheet" Target="/xl/worksheets/sheet5.xml" Id="Ra60b6c543f994efc" /><Relationship Type="http://schemas.openxmlformats.org/officeDocument/2006/relationships/worksheet" Target="/xl/worksheets/sheet6.xml" Id="Ra39373ea11fa4a94" /><Relationship Type="http://schemas.openxmlformats.org/officeDocument/2006/relationships/worksheet" Target="/xl/worksheets/sheet7.xml" Id="Rb79f8b060335445c" /><Relationship Type="http://schemas.openxmlformats.org/officeDocument/2006/relationships/worksheet" Target="/xl/worksheets/sheet8.xml" Id="R934cb0588e5145b4" /><Relationship Type="http://schemas.openxmlformats.org/officeDocument/2006/relationships/worksheet" Target="/xl/worksheets/sheet9.xml" Id="Rd39dfbe0f237429f" /><Relationship Type="http://schemas.openxmlformats.org/officeDocument/2006/relationships/worksheet" Target="/xl/worksheets/sheet10.xml" Id="Reff17d42372d43c2" /><Relationship Type="http://schemas.openxmlformats.org/officeDocument/2006/relationships/worksheet" Target="/xl/worksheets/sheet11.xml" Id="Rae014edfcad14635" /><Relationship Type="http://schemas.openxmlformats.org/officeDocument/2006/relationships/worksheet" Target="/xl/worksheets/sheet12.xml" Id="Rf3ce225bd371488b" /><Relationship Type="http://schemas.openxmlformats.org/officeDocument/2006/relationships/worksheet" Target="/xl/worksheets/sheet13.xml" Id="R7f9182a9fdf644fb" /><Relationship Type="http://schemas.openxmlformats.org/officeDocument/2006/relationships/worksheet" Target="/xl/worksheets/sheet14.xml" Id="Rb96402132dce4ad5" /><Relationship Type="http://schemas.openxmlformats.org/officeDocument/2006/relationships/worksheet" Target="/xl/worksheets/sheet15.xml" Id="R233e321eeac8417c" /><Relationship Type="http://schemas.openxmlformats.org/officeDocument/2006/relationships/worksheet" Target="/xl/worksheets/sheet16.xml" Id="R049ecbda3b4847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3c97db44c34fb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c1f3ec5c56c43b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0cf9eb778014cf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ca64cc4b672473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db2f5d2db9943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Devices deployed by wave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Deployed</c:v>
          </c:tx>
          <c:cat>
            <c:strRef>
              <c:f>'Kanban Dashboard'!$J$5:$J$9</c:f>
              <c:strCache>
                <c:ptCount val="0"/>
              </c:strCache>
            </c:strRef>
          </c:cat>
          <c:val>
            <c:numRef>
              <c:f>'Kanban Dashboard'!$K$5:$K$9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Devices deployed by wave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Deployed</c:v>
          </c:tx>
          <c:cat>
            <c:strRef>
              <c:f>'Scrum Dashboard'!$J$5:$J$9</c:f>
              <c:strCache>
                <c:ptCount val="0"/>
              </c:strCache>
            </c:strRef>
          </c:cat>
          <c:val>
            <c:numRef>
              <c:f>'Scrum Dashboard'!$K$5:$K$9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Devices deployed by wave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Deployed</c:v>
          </c:tx>
          <c:cat>
            <c:strRef>
              <c:f>'Predictive Dashboard'!$J$5:$J$9</c:f>
              <c:strCache>
                <c:ptCount val="0"/>
              </c:strCache>
            </c:strRef>
          </c:cat>
          <c:val>
            <c:numRef>
              <c:f>'Predictive Dashboard'!$K$5:$K$9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Devices deployed by wave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Deployed</c:v>
          </c:tx>
          <c:cat>
            <c:strRef>
              <c:f>'Hybrid Dashboard'!$J$5:$J$9</c:f>
              <c:strCache>
                <c:ptCount val="0"/>
              </c:strCache>
            </c:strRef>
          </c:cat>
          <c:val>
            <c:numRef>
              <c:f>'Hybrid Dashboard'!$K$5:$K$9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 by control account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Forecast</c:v>
          </c:tx>
          <c:cat>
            <c:strRef>
              <c:f>'Portfolio Summary'!$J$5:$J$9</c:f>
              <c:strCache>
                <c:ptCount val="0"/>
              </c:strCache>
            </c:strRef>
          </c:cat>
          <c:val>
            <c:numRef>
              <c:f>'Portfolio Summary'!$K$5:$K$9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3c97db44c34fb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1f3ec5c56c43b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cf9eb778014cf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a64cc4b672473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b2f5d2db9943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wInstructions" displayName="HwInstructions" ref="A4:D8" headerRowCount="1" totalsRowCount="0" totalsRowShown="0">
  <x:tableColumns count="4">
    <x:tableColumn id="1" name="Step"/>
    <x:tableColumn id="2" name="Action"/>
    <x:tableColumn id="3" name="Control"/>
    <x:tableColumn id="4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wRaid" displayName="HwRaid" ref="A4:K8" headerRowCount="1" totalsRowCount="0" totalsRowShown="0">
  <x:tableColumns count="11">
    <x:tableColumn id="1" name="ID"/>
    <x:tableColumn id="2" name="Type"/>
    <x:tableColumn id="3" name="Statement"/>
    <x:tableColumn id="4" name="P"/>
    <x:tableColumn id="5" name="I"/>
    <x:tableColumn id="6" name="Score"/>
    <x:tableColumn id="7" name="Response"/>
    <x:tableColumn id="8" name="Owner"/>
    <x:tableColumn id="9" name="Due"/>
    <x:tableColumn id="10" name="Status"/>
    <x:tableColumn id="11" name="Trigg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wInventory" displayName="HwInventory" ref="A4:K8" headerRowCount="1" totalsRowCount="0" totalsRowShown="0">
  <x:tableColumns count="11">
    <x:tableColumn id="1" name="Asset ID"/>
    <x:tableColumn id="2" name="Device type"/>
    <x:tableColumn id="3" name="Site"/>
    <x:tableColumn id="4" name="Persona"/>
    <x:tableColumn id="5" name="Old serial"/>
    <x:tableColumn id="6" name="New serial"/>
    <x:tableColumn id="7" name="Assigned user"/>
    <x:tableColumn id="8" name="Build"/>
    <x:tableColumn id="9" name="Wave"/>
    <x:tableColumn id="10" name="State"/>
    <x:tableColumn id="11" name="Final dispos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wApps" displayName="HwApps" ref="A4:J8" headerRowCount="1" totalsRowCount="0" totalsRowShown="0">
  <x:tableColumns count="10">
    <x:tableColumn id="1" name="App"/>
    <x:tableColumn id="2" name="Tier"/>
    <x:tableColumn id="3" name="Persona"/>
    <x:tableColumn id="4" name="Packaging"/>
    <x:tableColumn id="5" name="License"/>
    <x:tableColumn id="6" name="Task test"/>
    <x:tableColumn id="7" name="Fallback"/>
    <x:tableColumn id="8" name="Owner"/>
    <x:tableColumn id="9" name="State"/>
    <x:tableColumn id="10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wWaves" displayName="HwWaves" ref="A4:J10" headerRowCount="1" totalsRowCount="0" totalsRowShown="0">
  <x:tableColumns count="10">
    <x:tableColumn id="1" name="Wave"/>
    <x:tableColumn id="2" name="Planned"/>
    <x:tableColumn id="3" name="Deployed"/>
    <x:tableColumn id="4" name="FTR"/>
    <x:tableColumn id="5" name="Data validated"/>
    <x:tableColumn id="6" name="24h compliant"/>
    <x:tableColumn id="7" name="Returns"/>
    <x:tableColumn id="8" name="Exceptions"/>
    <x:tableColumn id="9" name="State"/>
    <x:tableColumn id="10" name="Own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wData" displayName="HwData" ref="A4:I9" headerRowCount="1" totalsRowCount="0" totalsRowShown="0">
  <x:tableColumns count="9">
    <x:tableColumn id="1" name="Wave"/>
    <x:tableColumn id="2" name="Users"/>
    <x:tableColumn id="3" name="Precheck pass"/>
    <x:tableColumn id="4" name="Backup/sync pass"/>
    <x:tableColumn id="5" name="Post-check pass"/>
    <x:tableColumn id="6" name="Exceptions"/>
    <x:tableColumn id="7" name="Hold release"/>
    <x:tableColumn id="8" name="Owner"/>
    <x:tableColumn id="9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wSanitize" displayName="HwSanitize" ref="A4:J8" headerRowCount="1" totalsRowCount="0" totalsRowShown="0">
  <x:tableColumns count="10">
    <x:tableColumn id="1" name="Custody ID"/>
    <x:tableColumn id="2" name="Old serial"/>
    <x:tableColumn id="3" name="User"/>
    <x:tableColumn id="4" name="Received"/>
    <x:tableColumn id="5" name="Hold release"/>
    <x:tableColumn id="6" name="Method/program"/>
    <x:tableColumn id="7" name="Validation"/>
    <x:tableColumn id="8" name="Certificate"/>
    <x:tableColumn id="9" name="Final disposition"/>
    <x:tableColumn id="10" name="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wExceptions" displayName="HwExceptions" ref="A4:J8" headerRowCount="1" totalsRowCount="0" totalsRowShown="0">
  <x:tableColumns count="10">
    <x:tableColumn id="1" name="ID"/>
    <x:tableColumn id="2" name="User/cohort"/>
    <x:tableColumn id="3" name="Category"/>
    <x:tableColumn id="4" name="Statement"/>
    <x:tableColumn id="5" name="Workaround"/>
    <x:tableColumn id="6" name="Owner"/>
    <x:tableColumn id="7" name="New date"/>
    <x:tableColumn id="8" name="Age days"/>
    <x:tableColumn id="9" name="State"/>
    <x:tableColumn id="10" name="Final disposi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wBudget" displayName="HwBudget" ref="A4:H10" headerRowCount="1" totalsRowCount="0" totalsRowShown="0">
  <x:tableColumns count="8">
    <x:tableColumn id="1" name="Control account"/>
    <x:tableColumn id="2" name="Baseline"/>
    <x:tableColumn id="3" name="Forecast"/>
    <x:tableColumn id="4" name="Actual"/>
    <x:tableColumn id="5" name="ETC"/>
    <x:tableColumn id="6" name="Variance"/>
    <x:tableColumn id="7" name="Owner"/>
    <x:tableColumn id="8" name="Evid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wSources" displayName="HwSources" ref="A4:F11" headerRowCount="1" totalsRowCount="0" totalsRowShown="0">
  <x:tableColumns count="6">
    <x:tableColumn id="1" name="Publisher"/>
    <x:tableColumn id="2" name="Source"/>
    <x:tableColumn id="3" name="URL"/>
    <x:tableColumn id="4" name="Use"/>
    <x:tableColumn id="5" name="Accessed"/>
    <x:tableColumn id="6" name="Author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wBlank" displayName="HwBlank" ref="A4:I5" headerRowCount="1" totalsRowCount="0" totalsRowShown="0">
  <x:tableColumns count="9">
    <x:tableColumn id="1" name="ID"/>
    <x:tableColumn id="2" name="Item"/>
    <x:tableColumn id="3" name="Owner"/>
    <x:tableColumn id="4" name="Due"/>
    <x:tableColumn id="5" name="State"/>
    <x:tableColumn id="6" name="Acceptance"/>
    <x:tableColumn id="7" name="Evidence"/>
    <x:tableColumn id="8" name="Decision"/>
    <x:tableColumn id="9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wKanbanControls" displayName="HwKanbanControls" ref="A12:H16" headerRowCount="1" totalsRowCount="0" totalsRowShown="0">
  <x:tableColumns count="8">
    <x:tableColumn id="1" name="Dimension"/>
    <x:tableColumn id="2" name="Current evidence"/>
    <x:tableColumn id="3" name="Threshold"/>
    <x:tableColumn id="4" name="State"/>
    <x:tableColumn id="5" name="Owner"/>
    <x:tableColumn id="6" name="Decision / action"/>
    <x:tableColumn id="7" name="Source"/>
    <x:tableColumn id="8" name="Confid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wScrumControls" displayName="HwScrumControls" ref="A12:H16" headerRowCount="1" totalsRowCount="0" totalsRowShown="0">
  <x:tableColumns count="8">
    <x:tableColumn id="1" name="Dimension"/>
    <x:tableColumn id="2" name="Current evidence"/>
    <x:tableColumn id="3" name="Threshold"/>
    <x:tableColumn id="4" name="State"/>
    <x:tableColumn id="5" name="Owner"/>
    <x:tableColumn id="6" name="Decision / action"/>
    <x:tableColumn id="7" name="Source"/>
    <x:tableColumn id="8" name="Confid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wPredControls" displayName="HwPredControls" ref="A12:H16" headerRowCount="1" totalsRowCount="0" totalsRowShown="0">
  <x:tableColumns count="8">
    <x:tableColumn id="1" name="Dimension"/>
    <x:tableColumn id="2" name="Current evidence"/>
    <x:tableColumn id="3" name="Threshold"/>
    <x:tableColumn id="4" name="State"/>
    <x:tableColumn id="5" name="Owner"/>
    <x:tableColumn id="6" name="Decision / action"/>
    <x:tableColumn id="7" name="Source"/>
    <x:tableColumn id="8" name="Confide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wHybridControls" displayName="HwHybridControls" ref="A12:H16" headerRowCount="1" totalsRowCount="0" totalsRowShown="0">
  <x:tableColumns count="8">
    <x:tableColumn id="1" name="Dimension"/>
    <x:tableColumn id="2" name="Current evidence"/>
    <x:tableColumn id="3" name="Threshold"/>
    <x:tableColumn id="4" name="State"/>
    <x:tableColumn id="5" name="Owner"/>
    <x:tableColumn id="6" name="Decision / action"/>
    <x:tableColumn id="7" name="Source"/>
    <x:tableColumn id="8" name="Confiden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wPortfolioControls" displayName="HwPortfolioControls" ref="A12:H16" headerRowCount="1" totalsRowCount="0" totalsRowShown="0">
  <x:tableColumns count="8">
    <x:tableColumn id="1" name="Dimension"/>
    <x:tableColumn id="2" name="Current evidence"/>
    <x:tableColumn id="3" name="Threshold"/>
    <x:tableColumn id="4" name="State"/>
    <x:tableColumn id="5" name="Owner"/>
    <x:tableColumn id="6" name="Decision / action"/>
    <x:tableColumn id="7" name="Source"/>
    <x:tableColumn id="8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322dddfe1e49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ef8bc842bf45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e31eadc96e40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fc4dfe23554c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8c11ef603a46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c961f319ff43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04ff4ffe33a47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8633ecff6c544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e6389440c4b4e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a99141b2bc546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5badecee95643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54c6769baccf4fdb" /><Relationship Type="http://schemas.openxmlformats.org/officeDocument/2006/relationships/table" Target="/xl/tables/table12.xml" Id="Rd59e6c87f93743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d1231ffad23242d2" /><Relationship Type="http://schemas.openxmlformats.org/officeDocument/2006/relationships/table" Target="/xl/tables/table13.xml" Id="R94cc8efbb84144c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3.xml" Id="R00515897f80140b4" /><Relationship Type="http://schemas.openxmlformats.org/officeDocument/2006/relationships/table" Target="/xl/tables/table14.xml" Id="R097816f708fc480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4.xml" Id="R83162b72d0d74446" /><Relationship Type="http://schemas.openxmlformats.org/officeDocument/2006/relationships/table" Target="/xl/tables/table15.xml" Id="R40c506966b03461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5.xml" Id="R57fd33ed176f45ff" /><Relationship Type="http://schemas.openxmlformats.org/officeDocument/2006/relationships/table" Target="/xl/tables/table16.xml" Id="R1bf8d770ca084f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42" hidden="0" customWidth="1"/>
    <x:col min="4" max="4" width="40" hidden="0" customWidth="1"/>
  </x:cols>
  <x:sheetData>
    <x:row r="1" ht="30" customHeight="1">
      <x:c r="A1" s="3" t="str">
        <x:v>Hardware refresh workbook instructions</x:v>
      </x:c>
      <x:c r="B1" s="3"/>
      <x:c r="C1" s="3"/>
      <x:c r="D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</x:row>
    <x:row r="4" ht="28" customHeight="1">
      <x:c r="A4" s="9" t="str">
        <x:v>Step</x:v>
      </x:c>
      <x:c r="B4" s="9" t="str">
        <x:v>Action</x:v>
      </x:c>
      <x:c r="C4" s="9" t="str">
        <x:v>Control</x:v>
      </x:c>
      <x:c r="D4" s="9" t="str">
        <x:v>Evidence</x:v>
      </x:c>
    </x:row>
    <x:row r="5">
      <x:c r="A5" s="23" t="n">
        <x:v>1</x:v>
      </x:c>
      <x:c r="B5" s="24" t="str">
        <x:v>Replace Company ABC assumptions with authorized device, user, site, and financial records.</x:v>
      </x:c>
      <x:c r="C5" s="24" t="str">
        <x:v>Keep one serial-level source of truth.</x:v>
      </x:c>
      <x:c r="D5" s="25" t="str">
        <x:v>CMDB/MDM/procurement/HR exports</x:v>
      </x:c>
    </x:row>
    <x:row r="6">
      <x:c r="A6" s="26" t="n">
        <x:v>2</x:v>
      </x:c>
      <x:c r="B6" s="27" t="str">
        <x:v>Update inventory, wave, data, security, return, and sanitization registers.</x:v>
      </x:c>
      <x:c r="C6" s="27" t="str">
        <x:v>A handed-out device is not Done.</x:v>
      </x:c>
      <x:c r="D6" s="28" t="str">
        <x:v>User/task/security/asset acceptance</x:v>
      </x:c>
    </x:row>
    <x:row r="7">
      <x:c r="A7" s="26" t="n">
        <x:v>3</x:v>
      </x:c>
      <x:c r="B7" s="27" t="str">
        <x:v>Use method dashboards for delivery control; use Portfolio Summary for governance.</x:v>
      </x:c>
      <x:c r="C7" s="27" t="str">
        <x:v>No competing denominators or shadow plans.</x:v>
      </x:c>
      <x:c r="D7" s="28" t="str">
        <x:v>Dated reconciliation pack</x:v>
      </x:c>
    </x:row>
    <x:row r="8">
      <x:c r="A8" s="26" t="n">
        <x:v>4</x:v>
      </x:c>
      <x:c r="B8" s="27" t="str">
        <x:v>Quarantine missing serial, hold release, or sanitization evidence.</x:v>
      </x:c>
      <x:c r="C8" s="27" t="str">
        <x:v>Invoice alone never closes custody.</x:v>
      </x:c>
      <x:c r="D8" s="28" t="str">
        <x:v>Chain-of-custody record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5322dddfe1e49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42" hidden="0" customWidth="1"/>
    <x:col min="4" max="4" width="8" hidden="0" customWidth="1"/>
    <x:col min="5" max="5" width="8" hidden="0" customWidth="1"/>
    <x:col min="6" max="6" width="10" hidden="0" customWidth="1"/>
    <x:col min="7" max="7" width="42" hidden="0" customWidth="1"/>
    <x:col min="8" max="8" width="20" hidden="0" customWidth="1"/>
    <x:col min="9" max="9" width="15" hidden="0" customWidth="1"/>
    <x:col min="10" max="10" width="15" hidden="0" customWidth="1"/>
    <x:col min="11" max="11" width="30" hidden="0" customWidth="1"/>
  </x:cols>
  <x:sheetData>
    <x:row r="1" ht="30" customHeight="1">
      <x:c r="A1" s="3" t="str">
        <x:v>Hardware refresh RAID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8" customHeight="1">
      <x:c r="A4" s="9" t="str">
        <x:v>ID</x:v>
      </x:c>
      <x:c r="B4" s="9" t="str">
        <x:v>Type</x:v>
      </x:c>
      <x:c r="C4" s="9" t="str">
        <x:v>Statement</x:v>
      </x:c>
      <x:c r="D4" s="9" t="str">
        <x:v>P</x:v>
      </x:c>
      <x:c r="E4" s="9" t="str">
        <x:v>I</x:v>
      </x:c>
      <x:c r="F4" s="9" t="str">
        <x:v>Score</x:v>
      </x:c>
      <x:c r="G4" s="9" t="str">
        <x:v>Response</x:v>
      </x:c>
      <x:c r="H4" s="9" t="str">
        <x:v>Owner</x:v>
      </x:c>
      <x:c r="I4" s="9" t="str">
        <x:v>Due</x:v>
      </x:c>
      <x:c r="J4" s="9" t="str">
        <x:v>Status</x:v>
      </x:c>
      <x:c r="K4" s="9" t="str">
        <x:v>Trigger</x:v>
      </x:c>
    </x:row>
    <x:row r="5">
      <x:c r="A5" s="23" t="str">
        <x:v>HW-R-003</x:v>
      </x:c>
      <x:c r="B5" s="24" t="str">
        <x:v>Risk</x:v>
      </x:c>
      <x:c r="C5" s="24" t="str">
        <x:v>Critical app, driver, VPN, or peripheral failure.</x:v>
      </x:c>
      <x:c r="D5" s="24" t="n">
        <x:v>4</x:v>
      </x:c>
      <x:c r="E5" s="24" t="n">
        <x:v>4</x:v>
      </x:c>
      <x:c r="F5" s="24" t="n">
        <x:v>16</x:v>
      </x:c>
      <x:c r="G5" s="24" t="str">
        <x:v>Persona pilot, versioned package, fallback.</x:v>
      </x:c>
      <x:c r="H5" s="24" t="str">
        <x:v>App Lead</x:v>
      </x:c>
      <x:c r="I5" s="24" t="str">
        <x:v>2026-09-11</x:v>
      </x:c>
      <x:c r="J5" s="24" t="str">
        <x:v>Open</x:v>
      </x:c>
      <x:c r="K5" s="25" t="str">
        <x:v>Tier 0/1 test fails</x:v>
      </x:c>
    </x:row>
    <x:row r="6">
      <x:c r="A6" s="26" t="str">
        <x:v>HW-R-002</x:v>
      </x:c>
      <x:c r="B6" s="27" t="str">
        <x:v>Risk</x:v>
      </x:c>
      <x:c r="C6" s="27" t="str">
        <x:v>Local or application data is not protected.</x:v>
      </x:c>
      <x:c r="D6" s="27" t="n">
        <x:v>3</x:v>
      </x:c>
      <x:c r="E6" s="27" t="n">
        <x:v>5</x:v>
      </x:c>
      <x:c r="F6" s="27" t="n">
        <x:v>15</x:v>
      </x:c>
      <x:c r="G6" s="27" t="str">
        <x:v>Precheck, KFM/backup, validation, sanitization hold.</x:v>
      </x:c>
      <x:c r="H6" s="27" t="str">
        <x:v>Data Lead</x:v>
      </x:c>
      <x:c r="I6" s="27" t="str">
        <x:v>2026-09-18</x:v>
      </x:c>
      <x:c r="J6" s="27" t="str">
        <x:v>Open</x:v>
      </x:c>
      <x:c r="K6" s="28" t="str">
        <x:v>Unknown local data</x:v>
      </x:c>
    </x:row>
    <x:row r="7">
      <x:c r="A7" s="26" t="str">
        <x:v>HW-I-005</x:v>
      </x:c>
      <x:c r="B7" s="27" t="str">
        <x:v>Issue</x:v>
      </x:c>
      <x:c r="C7" s="27" t="str">
        <x:v>Sixteen accessibility, leave, app, or logistics exceptions remain.</x:v>
      </x:c>
      <x:c r="D7" s="27" t="n">
        <x:v>3</x:v>
      </x:c>
      <x:c r="E7" s="27" t="n">
        <x:v>5</x:v>
      </x:c>
      <x:c r="F7" s="27" t="n">
        <x:v>15</x:v>
      </x:c>
      <x:c r="G7" s="27" t="str">
        <x:v>Owner, new date, workaround, specialized capacity.</x:v>
      </x:c>
      <x:c r="H7" s="27" t="str">
        <x:v>Wave Lead</x:v>
      </x:c>
      <x:c r="I7" s="27" t="str">
        <x:v>2026-10-16</x:v>
      </x:c>
      <x:c r="J7" s="27" t="str">
        <x:v>Open</x:v>
      </x:c>
      <x:c r="K7" s="28" t="str">
        <x:v>Exception unowned</x:v>
      </x:c>
    </x:row>
    <x:row r="8">
      <x:c r="A8" s="26" t="str">
        <x:v>HW-R-004</x:v>
      </x:c>
      <x:c r="B8" s="27" t="str">
        <x:v>Risk</x:v>
      </x:c>
      <x:c r="C8" s="27" t="str">
        <x:v>Custody or sanitization evidence gap.</x:v>
      </x:c>
      <x:c r="D8" s="27" t="n">
        <x:v>2</x:v>
      </x:c>
      <x:c r="E8" s="27" t="n">
        <x:v>5</x:v>
      </x:c>
      <x:c r="F8" s="27" t="n">
        <x:v>10</x:v>
      </x:c>
      <x:c r="G8" s="27" t="str">
        <x:v>Scan custody, secure storage, validate, quarantine.</x:v>
      </x:c>
      <x:c r="H8" s="27" t="str">
        <x:v>Asset Lead</x:v>
      </x:c>
      <x:c r="I8" s="27" t="str">
        <x:v>2026-10-23</x:v>
      </x:c>
      <x:c r="J8" s="27" t="str">
        <x:v>Watching</x:v>
      </x:c>
      <x:c r="K8" s="28" t="str">
        <x:v>Unknown serial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3ef8bc842bf45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17" hidden="0" customWidth="1"/>
    <x:col min="9" max="9" width="16" hidden="0" customWidth="1"/>
    <x:col min="10" max="10" width="16" hidden="0" customWidth="1"/>
    <x:col min="11" max="11" width="22" hidden="0" customWidth="1"/>
  </x:cols>
  <x:sheetData>
    <x:row r="1" ht="30" customHeight="1">
      <x:c r="A1" s="3" t="str">
        <x:v>Serial-level device inventory and disposition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8" customHeight="1">
      <x:c r="A4" s="9" t="str">
        <x:v>Asset ID</x:v>
      </x:c>
      <x:c r="B4" s="9" t="str">
        <x:v>Device type</x:v>
      </x:c>
      <x:c r="C4" s="9" t="str">
        <x:v>Site</x:v>
      </x:c>
      <x:c r="D4" s="9" t="str">
        <x:v>Persona</x:v>
      </x:c>
      <x:c r="E4" s="9" t="str">
        <x:v>Old serial</x:v>
      </x:c>
      <x:c r="F4" s="9" t="str">
        <x:v>New serial</x:v>
      </x:c>
      <x:c r="G4" s="9" t="str">
        <x:v>Assigned user</x:v>
      </x:c>
      <x:c r="H4" s="9" t="str">
        <x:v>Build</x:v>
      </x:c>
      <x:c r="I4" s="9" t="str">
        <x:v>Wave</x:v>
      </x:c>
      <x:c r="J4" s="9" t="str">
        <x:v>State</x:v>
      </x:c>
      <x:c r="K4" s="9" t="str">
        <x:v>Final disposition</x:v>
      </x:c>
    </x:row>
    <x:row r="5">
      <x:c r="A5" s="23" t="str">
        <x:v>ABC-0001</x:v>
      </x:c>
      <x:c r="B5" s="24" t="str">
        <x:v>Laptop</x:v>
      </x:c>
      <x:c r="C5" s="24" t="str">
        <x:v>Site A</x:v>
      </x:c>
      <x:c r="D5" s="24" t="str">
        <x:v>Standard</x:v>
      </x:c>
      <x:c r="E5" s="24" t="str">
        <x:v>OLD-0001</x:v>
      </x:c>
      <x:c r="F5" s="24" t="str">
        <x:v>NEW-0001</x:v>
      </x:c>
      <x:c r="G5" s="24" t="str">
        <x:v>Worker 001</x:v>
      </x:c>
      <x:c r="H5" s="24" t="str">
        <x:v>W11.2</x:v>
      </x:c>
      <x:c r="I5" s="24" t="str">
        <x:v>Pilot</x:v>
      </x:c>
      <x:c r="J5" s="24" t="str">
        <x:v>Accepted</x:v>
      </x:c>
      <x:c r="K5" s="25" t="str">
        <x:v>Return received</x:v>
      </x:c>
    </x:row>
    <x:row r="6">
      <x:c r="A6" s="26" t="str">
        <x:v>ABC-0002</x:v>
      </x:c>
      <x:c r="B6" s="27" t="str">
        <x:v>Laptop</x:v>
      </x:c>
      <x:c r="C6" s="27" t="str">
        <x:v>Site A</x:v>
      </x:c>
      <x:c r="D6" s="27" t="str">
        <x:v>Developer</x:v>
      </x:c>
      <x:c r="E6" s="27" t="str">
        <x:v>OLD-0002</x:v>
      </x:c>
      <x:c r="F6" s="27" t="str">
        <x:v>NEW-0002</x:v>
      </x:c>
      <x:c r="G6" s="27" t="str">
        <x:v>Worker 002</x:v>
      </x:c>
      <x:c r="H6" s="27" t="str">
        <x:v>W11.2-DEV</x:v>
      </x:c>
      <x:c r="I6" s="27" t="str">
        <x:v>Site A</x:v>
      </x:c>
      <x:c r="J6" s="27" t="str">
        <x:v>Accepted</x:v>
      </x:c>
      <x:c r="K6" s="28" t="str">
        <x:v>Return received</x:v>
      </x:c>
    </x:row>
    <x:row r="7">
      <x:c r="A7" s="26" t="str">
        <x:v>ABC-0003</x:v>
      </x:c>
      <x:c r="B7" s="27" t="str">
        <x:v>Desktop</x:v>
      </x:c>
      <x:c r="C7" s="27" t="str">
        <x:v>Site B</x:v>
      </x:c>
      <x:c r="D7" s="27" t="str">
        <x:v>Specialized</x:v>
      </x:c>
      <x:c r="E7" s="27" t="str">
        <x:v>OLD-0003</x:v>
      </x:c>
      <x:c r="F7" s="27" t="str">
        <x:v>NEW-0003</x:v>
      </x:c>
      <x:c r="G7" s="27" t="str">
        <x:v>Worker 003</x:v>
      </x:c>
      <x:c r="H7" s="27" t="str">
        <x:v>W11.2-SP</x:v>
      </x:c>
      <x:c r="I7" s="27" t="str">
        <x:v>Site B</x:v>
      </x:c>
      <x:c r="J7" s="27" t="str">
        <x:v>Exception</x:v>
      </x:c>
      <x:c r="K7" s="28" t="str">
        <x:v>Pending</x:v>
      </x:c>
    </x:row>
    <x:row r="8">
      <x:c r="A8" s="26" t="str">
        <x:v>ABC-0004</x:v>
      </x:c>
      <x:c r="B8" s="27" t="str">
        <x:v>Phone</x:v>
      </x:c>
      <x:c r="C8" s="27" t="str">
        <x:v>Remote</x:v>
      </x:c>
      <x:c r="D8" s="27" t="str">
        <x:v>Mobile</x:v>
      </x:c>
      <x:c r="E8" s="27" t="str">
        <x:v>OLD-0004</x:v>
      </x:c>
      <x:c r="F8" s="27" t="str">
        <x:v>NEW-0004</x:v>
      </x:c>
      <x:c r="G8" s="27" t="str">
        <x:v>Worker 004</x:v>
      </x:c>
      <x:c r="H8" s="27" t="str">
        <x:v>MDM-4.2</x:v>
      </x:c>
      <x:c r="I8" s="27" t="str">
        <x:v>Remote/all</x:v>
      </x:c>
      <x:c r="J8" s="27" t="str">
        <x:v>Accepted</x:v>
      </x:c>
      <x:c r="K8" s="28" t="str">
        <x:v>Carrier return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8e31eadc96e40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0" hidden="0" customWidth="1"/>
    <x:col min="4" max="4" width="18" hidden="0" customWidth="1"/>
    <x:col min="5" max="5" width="16" hidden="0" customWidth="1"/>
    <x:col min="6" max="6" width="18" hidden="0" customWidth="1"/>
    <x:col min="7" max="7" width="22" hidden="0" customWidth="1"/>
    <x:col min="8" max="8" width="20" hidden="0" customWidth="1"/>
    <x:col min="9" max="9" width="16" hidden="0" customWidth="1"/>
    <x:col min="10" max="10" width="34" hidden="0" customWidth="1"/>
  </x:cols>
  <x:sheetData>
    <x:row r="1" ht="30" customHeight="1">
      <x:c r="A1" s="3" t="str">
        <x:v>Application and persona readiness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9" t="str">
        <x:v>App</x:v>
      </x:c>
      <x:c r="B4" s="9" t="str">
        <x:v>Tier</x:v>
      </x:c>
      <x:c r="C4" s="9" t="str">
        <x:v>Persona</x:v>
      </x:c>
      <x:c r="D4" s="9" t="str">
        <x:v>Packaging</x:v>
      </x:c>
      <x:c r="E4" s="9" t="str">
        <x:v>License</x:v>
      </x:c>
      <x:c r="F4" s="9" t="str">
        <x:v>Task test</x:v>
      </x:c>
      <x:c r="G4" s="9" t="str">
        <x:v>Fallback</x:v>
      </x:c>
      <x:c r="H4" s="9" t="str">
        <x:v>Owner</x:v>
      </x:c>
      <x:c r="I4" s="9" t="str">
        <x:v>State</x:v>
      </x:c>
      <x:c r="J4" s="9" t="str">
        <x:v>Evidence</x:v>
      </x:c>
    </x:row>
    <x:row r="5">
      <x:c r="A5" s="23" t="str">
        <x:v>Identity/VPN</x:v>
      </x:c>
      <x:c r="B5" s="24" t="n">
        <x:v>0</x:v>
      </x:c>
      <x:c r="C5" s="24" t="str">
        <x:v>All</x:v>
      </x:c>
      <x:c r="D5" s="24" t="str">
        <x:v>Versioned</x:v>
      </x:c>
      <x:c r="E5" s="24" t="str">
        <x:v>Ready</x:v>
      </x:c>
      <x:c r="F5" s="24" t="str">
        <x:v>Pass</x:v>
      </x:c>
      <x:c r="G5" s="24" t="str">
        <x:v>Old device</x:v>
      </x:c>
      <x:c r="H5" s="24" t="str">
        <x:v>Identity Lead</x:v>
      </x:c>
      <x:c r="I5" s="24" t="str">
        <x:v>Ready</x:v>
      </x:c>
      <x:c r="J5" s="25" t="str">
        <x:v>Pilot report</x:v>
      </x:c>
    </x:row>
    <x:row r="6">
      <x:c r="A6" s="26" t="str">
        <x:v>ERP client</x:v>
      </x:c>
      <x:c r="B6" s="27" t="n">
        <x:v>0</x:v>
      </x:c>
      <x:c r="C6" s="27" t="str">
        <x:v>Finance</x:v>
      </x:c>
      <x:c r="D6" s="27" t="str">
        <x:v>Versioned</x:v>
      </x:c>
      <x:c r="E6" s="27" t="str">
        <x:v>Ready</x:v>
      </x:c>
      <x:c r="F6" s="27" t="str">
        <x:v>Pass</x:v>
      </x:c>
      <x:c r="G6" s="27" t="str">
        <x:v>VDI</x:v>
      </x:c>
      <x:c r="H6" s="27" t="str">
        <x:v>App Lead</x:v>
      </x:c>
      <x:c r="I6" s="27" t="str">
        <x:v>Ready</x:v>
      </x:c>
      <x:c r="J6" s="28" t="str">
        <x:v>Task test</x:v>
      </x:c>
    </x:row>
    <x:row r="7">
      <x:c r="A7" s="26" t="str">
        <x:v>CAD suite</x:v>
      </x:c>
      <x:c r="B7" s="27" t="n">
        <x:v>1</x:v>
      </x:c>
      <x:c r="C7" s="27" t="str">
        <x:v>Engineering</x:v>
      </x:c>
      <x:c r="D7" s="27" t="str">
        <x:v>Versioned</x:v>
      </x:c>
      <x:c r="E7" s="27" t="str">
        <x:v>Ready</x:v>
      </x:c>
      <x:c r="F7" s="27" t="str">
        <x:v>Conditional</x:v>
      </x:c>
      <x:c r="G7" s="27" t="str">
        <x:v>Old workstation</x:v>
      </x:c>
      <x:c r="H7" s="27" t="str">
        <x:v>App Lead</x:v>
      </x:c>
      <x:c r="I7" s="27" t="str">
        <x:v>Watch</x:v>
      </x:c>
      <x:c r="J7" s="28" t="str">
        <x:v>Peripheral defect</x:v>
      </x:c>
    </x:row>
    <x:row r="8">
      <x:c r="A8" s="26" t="str">
        <x:v>Accessibility tools</x:v>
      </x:c>
      <x:c r="B8" s="27" t="n">
        <x:v>0</x:v>
      </x:c>
      <x:c r="C8" s="27" t="str">
        <x:v>Accessibility</x:v>
      </x:c>
      <x:c r="D8" s="27" t="str">
        <x:v>Specialized</x:v>
      </x:c>
      <x:c r="E8" s="27" t="str">
        <x:v>Ready</x:v>
      </x:c>
      <x:c r="F8" s="27" t="str">
        <x:v>Pass</x:v>
      </x:c>
      <x:c r="G8" s="27" t="str">
        <x:v>Named support</x:v>
      </x:c>
      <x:c r="H8" s="27" t="str">
        <x:v>Accessibility Lead</x:v>
      </x:c>
      <x:c r="I8" s="27" t="str">
        <x:v>Ready</x:v>
      </x:c>
      <x:c r="J8" s="28" t="str">
        <x:v>User acceptance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8fc4dfe23554c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5" hidden="0" customWidth="1"/>
    <x:col min="8" max="8" width="16" hidden="0" customWidth="1"/>
    <x:col min="9" max="9" width="16" hidden="0" customWidth="1"/>
    <x:col min="10" max="10" width="20" hidden="0" customWidth="1"/>
  </x:cols>
  <x:sheetData>
    <x:row r="1" ht="30" customHeight="1">
      <x:c r="A1" s="3" t="str">
        <x:v>Deployment waves and outcome measures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9" t="str">
        <x:v>Wave</x:v>
      </x:c>
      <x:c r="B4" s="9" t="str">
        <x:v>Planned</x:v>
      </x:c>
      <x:c r="C4" s="9" t="str">
        <x:v>Deployed</x:v>
      </x:c>
      <x:c r="D4" s="9" t="str">
        <x:v>FTR</x:v>
      </x:c>
      <x:c r="E4" s="9" t="str">
        <x:v>Data validated</x:v>
      </x:c>
      <x:c r="F4" s="9" t="str">
        <x:v>24h compliant</x:v>
      </x:c>
      <x:c r="G4" s="9" t="str">
        <x:v>Returns</x:v>
      </x:c>
      <x:c r="H4" s="9" t="str">
        <x:v>Exceptions</x:v>
      </x:c>
      <x:c r="I4" s="9" t="str">
        <x:v>State</x:v>
      </x:c>
      <x:c r="J4" s="9" t="str">
        <x:v>Owner</x:v>
      </x:c>
    </x:row>
    <x:row r="5">
      <x:c r="A5" s="23" t="str">
        <x:v>Pilot</x:v>
      </x:c>
      <x:c r="B5" s="24" t="n">
        <x:v>20</x:v>
      </x:c>
      <x:c r="C5" s="24" t="n">
        <x:v>20</x:v>
      </x:c>
      <x:c r="D5" s="24" t="n">
        <x:v>19</x:v>
      </x:c>
      <x:c r="E5" s="24" t="n">
        <x:v>20</x:v>
      </x:c>
      <x:c r="F5" s="24" t="n">
        <x:v>20</x:v>
      </x:c>
      <x:c r="G5" s="24" t="n">
        <x:v>20</x:v>
      </x:c>
      <x:c r="H5" s="24" t="n">
        <x:v>0</x:v>
      </x:c>
      <x:c r="I5" s="24" t="str">
        <x:v>Closed</x:v>
      </x:c>
      <x:c r="J5" s="25" t="str">
        <x:v>Pilot Lead</x:v>
      </x:c>
    </x:row>
    <x:row r="6">
      <x:c r="A6" s="26" t="str">
        <x:v>Site A</x:v>
      </x:c>
      <x:c r="B6" s="27" t="n">
        <x:v>95</x:v>
      </x:c>
      <x:c r="C6" s="27" t="n">
        <x:v>94</x:v>
      </x:c>
      <x:c r="D6" s="27" t="n">
        <x:v>92</x:v>
      </x:c>
      <x:c r="E6" s="27" t="n">
        <x:v>94</x:v>
      </x:c>
      <x:c r="F6" s="27" t="n">
        <x:v>93</x:v>
      </x:c>
      <x:c r="G6" s="27" t="n">
        <x:v>92</x:v>
      </x:c>
      <x:c r="H6" s="27" t="n">
        <x:v>1</x:v>
      </x:c>
      <x:c r="I6" s="27" t="str">
        <x:v>Hypercare</x:v>
      </x:c>
      <x:c r="J6" s="28" t="str">
        <x:v>Site A Lead</x:v>
      </x:c>
    </x:row>
    <x:row r="7">
      <x:c r="A7" s="26" t="str">
        <x:v>Site B</x:v>
      </x:c>
      <x:c r="B7" s="27" t="n">
        <x:v>90</x:v>
      </x:c>
      <x:c r="C7" s="27" t="n">
        <x:v>87</x:v>
      </x:c>
      <x:c r="D7" s="27" t="n">
        <x:v>85</x:v>
      </x:c>
      <x:c r="E7" s="27" t="n">
        <x:v>86</x:v>
      </x:c>
      <x:c r="F7" s="27" t="n">
        <x:v>86</x:v>
      </x:c>
      <x:c r="G7" s="27" t="n">
        <x:v>84</x:v>
      </x:c>
      <x:c r="H7" s="27" t="n">
        <x:v>3</x:v>
      </x:c>
      <x:c r="I7" s="27" t="str">
        <x:v>Hypercare</x:v>
      </x:c>
      <x:c r="J7" s="28" t="str">
        <x:v>Site B Lead</x:v>
      </x:c>
    </x:row>
    <x:row r="8">
      <x:c r="A8" s="26" t="str">
        <x:v>Site C</x:v>
      </x:c>
      <x:c r="B8" s="27" t="n">
        <x:v>75</x:v>
      </x:c>
      <x:c r="C8" s="27" t="n">
        <x:v>71</x:v>
      </x:c>
      <x:c r="D8" s="27" t="n">
        <x:v>69</x:v>
      </x:c>
      <x:c r="E8" s="27" t="n">
        <x:v>71</x:v>
      </x:c>
      <x:c r="F8" s="27" t="n">
        <x:v>70</x:v>
      </x:c>
      <x:c r="G8" s="27" t="n">
        <x:v>68</x:v>
      </x:c>
      <x:c r="H8" s="27" t="n">
        <x:v>4</x:v>
      </x:c>
      <x:c r="I8" s="27" t="str">
        <x:v>Deploying</x:v>
      </x:c>
      <x:c r="J8" s="28" t="str">
        <x:v>Site C Lead</x:v>
      </x:c>
    </x:row>
    <x:row r="9">
      <x:c r="A9" s="26" t="str">
        <x:v>Remote/all</x:v>
      </x:c>
      <x:c r="B9" s="27" t="n">
        <x:v>80</x:v>
      </x:c>
      <x:c r="C9" s="27" t="n">
        <x:v>72</x:v>
      </x:c>
      <x:c r="D9" s="27" t="n">
        <x:v>71</x:v>
      </x:c>
      <x:c r="E9" s="27" t="n">
        <x:v>71</x:v>
      </x:c>
      <x:c r="F9" s="27" t="n">
        <x:v>70</x:v>
      </x:c>
      <x:c r="G9" s="27" t="n">
        <x:v>70</x:v>
      </x:c>
      <x:c r="H9" s="27" t="n">
        <x:v>8</x:v>
      </x:c>
      <x:c r="I9" s="27" t="str">
        <x:v>Deploying</x:v>
      </x:c>
      <x:c r="J9" s="28" t="str">
        <x:v>Remote Lead</x:v>
      </x:c>
    </x:row>
    <x:row r="10">
      <x:c r="A10" s="26" t="str">
        <x:v>Total</x:v>
      </x:c>
      <x:c r="B10" s="27" t="n">
        <x:v>360</x:v>
      </x:c>
      <x:c r="C10" s="27" t="n">
        <x:v>344</x:v>
      </x:c>
      <x:c r="D10" s="27" t="n">
        <x:v>336</x:v>
      </x:c>
      <x:c r="E10" s="27" t="n">
        <x:v>342</x:v>
      </x:c>
      <x:c r="F10" s="27" t="n">
        <x:v>339</x:v>
      </x:c>
      <x:c r="G10" s="27" t="n">
        <x:v>334</x:v>
      </x:c>
      <x:c r="H10" s="27" t="n">
        <x:v>16</x:v>
      </x:c>
      <x:c r="I10" s="27" t="str">
        <x:v>Conditional</x:v>
      </x:c>
      <x:c r="J10" s="28" t="str">
        <x:v>Program Lead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38c11ef603a46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20" hidden="0" customWidth="1"/>
    <x:col min="9" max="9" width="38" hidden="0" customWidth="1"/>
  </x:cols>
  <x:sheetData>
    <x:row r="1" ht="30" customHeight="1">
      <x:c r="A1" s="3" t="str">
        <x:v>User data protection and acceptance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9" t="str">
        <x:v>Wave</x:v>
      </x:c>
      <x:c r="B4" s="9" t="str">
        <x:v>Users</x:v>
      </x:c>
      <x:c r="C4" s="9" t="str">
        <x:v>Precheck pass</x:v>
      </x:c>
      <x:c r="D4" s="9" t="str">
        <x:v>Backup/sync pass</x:v>
      </x:c>
      <x:c r="E4" s="9" t="str">
        <x:v>Post-check pass</x:v>
      </x:c>
      <x:c r="F4" s="9" t="str">
        <x:v>Exceptions</x:v>
      </x:c>
      <x:c r="G4" s="9" t="str">
        <x:v>Hold release</x:v>
      </x:c>
      <x:c r="H4" s="9" t="str">
        <x:v>Owner</x:v>
      </x:c>
      <x:c r="I4" s="9" t="str">
        <x:v>Evidence</x:v>
      </x:c>
    </x:row>
    <x:row r="5">
      <x:c r="A5" s="23" t="str">
        <x:v>Pilot</x:v>
      </x:c>
      <x:c r="B5" s="24" t="n">
        <x:v>20</x:v>
      </x:c>
      <x:c r="C5" s="24" t="n">
        <x:v>20</x:v>
      </x:c>
      <x:c r="D5" s="24" t="n">
        <x:v>20</x:v>
      </x:c>
      <x:c r="E5" s="24" t="n">
        <x:v>20</x:v>
      </x:c>
      <x:c r="F5" s="24" t="n">
        <x:v>0</x:v>
      </x:c>
      <x:c r="G5" s="24" t="str">
        <x:v>Yes</x:v>
      </x:c>
      <x:c r="H5" s="24" t="str">
        <x:v>Data Lead</x:v>
      </x:c>
      <x:c r="I5" s="25" t="str">
        <x:v>Count/sample/task acceptance</x:v>
      </x:c>
    </x:row>
    <x:row r="6">
      <x:c r="A6" s="26" t="str">
        <x:v>Site A</x:v>
      </x:c>
      <x:c r="B6" s="27" t="n">
        <x:v>94</x:v>
      </x:c>
      <x:c r="C6" s="27" t="n">
        <x:v>94</x:v>
      </x:c>
      <x:c r="D6" s="27" t="n">
        <x:v>94</x:v>
      </x:c>
      <x:c r="E6" s="27" t="n">
        <x:v>94</x:v>
      </x:c>
      <x:c r="F6" s="27" t="n">
        <x:v>0</x:v>
      </x:c>
      <x:c r="G6" s="27" t="str">
        <x:v>Yes</x:v>
      </x:c>
      <x:c r="H6" s="27" t="str">
        <x:v>Data Lead</x:v>
      </x:c>
      <x:c r="I6" s="28" t="str">
        <x:v>Count/sample/task acceptance</x:v>
      </x:c>
    </x:row>
    <x:row r="7">
      <x:c r="A7" s="26" t="str">
        <x:v>Site B</x:v>
      </x:c>
      <x:c r="B7" s="27" t="n">
        <x:v>87</x:v>
      </x:c>
      <x:c r="C7" s="27" t="n">
        <x:v>87</x:v>
      </x:c>
      <x:c r="D7" s="27" t="n">
        <x:v>86</x:v>
      </x:c>
      <x:c r="E7" s="27" t="n">
        <x:v>86</x:v>
      </x:c>
      <x:c r="F7" s="27" t="n">
        <x:v>1</x:v>
      </x:c>
      <x:c r="G7" s="27" t="str">
        <x:v>Yes</x:v>
      </x:c>
      <x:c r="H7" s="27" t="str">
        <x:v>Data Lead</x:v>
      </x:c>
      <x:c r="I7" s="28" t="str">
        <x:v>One owned exception</x:v>
      </x:c>
    </x:row>
    <x:row r="8">
      <x:c r="A8" s="26" t="str">
        <x:v>Site C</x:v>
      </x:c>
      <x:c r="B8" s="27" t="n">
        <x:v>71</x:v>
      </x:c>
      <x:c r="C8" s="27" t="n">
        <x:v>71</x:v>
      </x:c>
      <x:c r="D8" s="27" t="n">
        <x:v>71</x:v>
      </x:c>
      <x:c r="E8" s="27" t="n">
        <x:v>71</x:v>
      </x:c>
      <x:c r="F8" s="27" t="n">
        <x:v>0</x:v>
      </x:c>
      <x:c r="G8" s="27" t="str">
        <x:v>Yes</x:v>
      </x:c>
      <x:c r="H8" s="27" t="str">
        <x:v>Data Lead</x:v>
      </x:c>
      <x:c r="I8" s="28" t="str">
        <x:v>Count/sample/task acceptance</x:v>
      </x:c>
    </x:row>
    <x:row r="9">
      <x:c r="A9" s="26" t="str">
        <x:v>Remote/all</x:v>
      </x:c>
      <x:c r="B9" s="27" t="n">
        <x:v>72</x:v>
      </x:c>
      <x:c r="C9" s="27" t="n">
        <x:v>72</x:v>
      </x:c>
      <x:c r="D9" s="27" t="n">
        <x:v>71</x:v>
      </x:c>
      <x:c r="E9" s="27" t="n">
        <x:v>71</x:v>
      </x:c>
      <x:c r="F9" s="27" t="n">
        <x:v>1</x:v>
      </x:c>
      <x:c r="G9" s="27" t="str">
        <x:v>Yes</x:v>
      </x:c>
      <x:c r="H9" s="27" t="str">
        <x:v>Data Lead</x:v>
      </x:c>
      <x:c r="I9" s="28" t="str">
        <x:v>One owned exception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9c961f319ff43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24" hidden="0" customWidth="1"/>
    <x:col min="7" max="7" width="16" hidden="0" customWidth="1"/>
    <x:col min="8" max="8" width="18" hidden="0" customWidth="1"/>
    <x:col min="9" max="9" width="20" hidden="0" customWidth="1"/>
    <x:col min="10" max="10" width="16" hidden="0" customWidth="1"/>
  </x:cols>
  <x:sheetData>
    <x:row r="1" ht="30" customHeight="1">
      <x:c r="A1" s="3" t="str">
        <x:v>Old-asset custody and sanitization evidence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9" t="str">
        <x:v>Custody ID</x:v>
      </x:c>
      <x:c r="B4" s="9" t="str">
        <x:v>Old serial</x:v>
      </x:c>
      <x:c r="C4" s="9" t="str">
        <x:v>User</x:v>
      </x:c>
      <x:c r="D4" s="9" t="str">
        <x:v>Received</x:v>
      </x:c>
      <x:c r="E4" s="9" t="str">
        <x:v>Hold release</x:v>
      </x:c>
      <x:c r="F4" s="9" t="str">
        <x:v>Method/program</x:v>
      </x:c>
      <x:c r="G4" s="9" t="str">
        <x:v>Validation</x:v>
      </x:c>
      <x:c r="H4" s="9" t="str">
        <x:v>Certificate</x:v>
      </x:c>
      <x:c r="I4" s="9" t="str">
        <x:v>Final disposition</x:v>
      </x:c>
      <x:c r="J4" s="9" t="str">
        <x:v>State</x:v>
      </x:c>
    </x:row>
    <x:row r="5">
      <x:c r="A5" s="23" t="str">
        <x:v>CUST-0001</x:v>
      </x:c>
      <x:c r="B5" s="24" t="str">
        <x:v>OLD-0001</x:v>
      </x:c>
      <x:c r="C5" s="24" t="str">
        <x:v>Worker 001</x:v>
      </x:c>
      <x:c r="D5" s="24" t="str">
        <x:v>2026-09-04</x:v>
      </x:c>
      <x:c r="E5" s="24" t="str">
        <x:v>Approved</x:v>
      </x:c>
      <x:c r="F5" s="24" t="str">
        <x:v>ABC approved clear</x:v>
      </x:c>
      <x:c r="G5" s="24" t="str">
        <x:v>Pass</x:v>
      </x:c>
      <x:c r="H5" s="24" t="str">
        <x:v>CERT-0001</x:v>
      </x:c>
      <x:c r="I5" s="24" t="str">
        <x:v>Reuse</x:v>
      </x:c>
      <x:c r="J5" s="25" t="str">
        <x:v>Closed</x:v>
      </x:c>
    </x:row>
    <x:row r="6">
      <x:c r="A6" s="26" t="str">
        <x:v>CUST-0002</x:v>
      </x:c>
      <x:c r="B6" s="27" t="str">
        <x:v>OLD-0002</x:v>
      </x:c>
      <x:c r="C6" s="27" t="str">
        <x:v>Worker 002</x:v>
      </x:c>
      <x:c r="D6" s="27" t="str">
        <x:v>2026-09-11</x:v>
      </x:c>
      <x:c r="E6" s="27" t="str">
        <x:v>Approved</x:v>
      </x:c>
      <x:c r="F6" s="27" t="str">
        <x:v>ABC approved clear</x:v>
      </x:c>
      <x:c r="G6" s="27" t="str">
        <x:v>Pass</x:v>
      </x:c>
      <x:c r="H6" s="27" t="str">
        <x:v>CERT-0002</x:v>
      </x:c>
      <x:c r="I6" s="27" t="str">
        <x:v>Recycle</x:v>
      </x:c>
      <x:c r="J6" s="28" t="str">
        <x:v>Closed</x:v>
      </x:c>
    </x:row>
    <x:row r="7">
      <x:c r="A7" s="26" t="str">
        <x:v>CUST-0003</x:v>
      </x:c>
      <x:c r="B7" s="27" t="str">
        <x:v>OLD-0003</x:v>
      </x:c>
      <x:c r="C7" s="27" t="str">
        <x:v>Worker 003</x:v>
      </x:c>
      <x:c r="D7" s="27" t="str">
        <x:v>Pending</x:v>
      </x:c>
      <x:c r="E7" s="27" t="str">
        <x:v>Not released</x:v>
      </x:c>
      <x:c r="F7" s="27" t="str">
        <x:v>Pending</x:v>
      </x:c>
      <x:c r="G7" s="27" t="str">
        <x:v>Pending</x:v>
      </x:c>
      <x:c r="H7" s="27" t="str">
        <x:v>Pending</x:v>
      </x:c>
      <x:c r="I7" s="27" t="str">
        <x:v>Quarantine</x:v>
      </x:c>
      <x:c r="J7" s="28" t="str">
        <x:v>Open</x:v>
      </x:c>
    </x:row>
    <x:row r="8">
      <x:c r="A8" s="26" t="str">
        <x:v>CUST-0004</x:v>
      </x:c>
      <x:c r="B8" s="27" t="str">
        <x:v>OLD-0004</x:v>
      </x:c>
      <x:c r="C8" s="27" t="str">
        <x:v>Worker 004</x:v>
      </x:c>
      <x:c r="D8" s="27" t="str">
        <x:v>2026-10-02</x:v>
      </x:c>
      <x:c r="E8" s="27" t="str">
        <x:v>Approved</x:v>
      </x:c>
      <x:c r="F8" s="27" t="str">
        <x:v>Carrier program</x:v>
      </x:c>
      <x:c r="G8" s="27" t="str">
        <x:v>Pass</x:v>
      </x:c>
      <x:c r="H8" s="27" t="str">
        <x:v>CARR-0004</x:v>
      </x:c>
      <x:c r="I8" s="27" t="str">
        <x:v>Carrier return</x:v>
      </x:c>
      <x:c r="J8" s="28" t="str">
        <x:v>Closed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04ff4ffe33a47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8" hidden="0" customWidth="1"/>
    <x:col min="5" max="5" width="34" hidden="0" customWidth="1"/>
    <x:col min="6" max="6" width="20" hidden="0" customWidth="1"/>
    <x:col min="7" max="7" width="15" hidden="0" customWidth="1"/>
    <x:col min="8" max="8" width="14" hidden="0" customWidth="1"/>
    <x:col min="9" max="9" width="16" hidden="0" customWidth="1"/>
    <x:col min="10" max="10" width="26" hidden="0" customWidth="1"/>
  </x:cols>
  <x:sheetData>
    <x:row r="1" ht="30" customHeight="1">
      <x:c r="A1" s="3" t="str">
        <x:v>Deployment exception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28" customHeight="1">
      <x:c r="A4" s="9" t="str">
        <x:v>ID</x:v>
      </x:c>
      <x:c r="B4" s="9" t="str">
        <x:v>User/cohort</x:v>
      </x:c>
      <x:c r="C4" s="9" t="str">
        <x:v>Category</x:v>
      </x:c>
      <x:c r="D4" s="9" t="str">
        <x:v>Statement</x:v>
      </x:c>
      <x:c r="E4" s="9" t="str">
        <x:v>Workaround</x:v>
      </x:c>
      <x:c r="F4" s="9" t="str">
        <x:v>Owner</x:v>
      </x:c>
      <x:c r="G4" s="9" t="str">
        <x:v>New date</x:v>
      </x:c>
      <x:c r="H4" s="9" t="str">
        <x:v>Age days</x:v>
      </x:c>
      <x:c r="I4" s="9" t="str">
        <x:v>State</x:v>
      </x:c>
      <x:c r="J4" s="9" t="str">
        <x:v>Final disposition</x:v>
      </x:c>
    </x:row>
    <x:row r="5">
      <x:c r="A5" s="23" t="str">
        <x:v>EX-001</x:v>
      </x:c>
      <x:c r="B5" s="24" t="str">
        <x:v>Site A / Worker 095</x:v>
      </x:c>
      <x:c r="C5" s="24" t="str">
        <x:v>Leave</x:v>
      </x:c>
      <x:c r="D5" s="24" t="str">
        <x:v>User unavailable at wave date.</x:v>
      </x:c>
      <x:c r="E5" s="24" t="str">
        <x:v>Old device remains compliant</x:v>
      </x:c>
      <x:c r="F5" s="24" t="str">
        <x:v>Site A Lead</x:v>
      </x:c>
      <x:c r="G5" s="24" t="str">
        <x:v>2026-10-09</x:v>
      </x:c>
      <x:c r="H5" s="24" t="n">
        <x:v>6</x:v>
      </x:c>
      <x:c r="I5" s="24" t="str">
        <x:v>Owned</x:v>
      </x:c>
      <x:c r="J5" s="25" t="str">
        <x:v>Reschedule</x:v>
      </x:c>
    </x:row>
    <x:row r="6">
      <x:c r="A6" s="26" t="str">
        <x:v>EX-002</x:v>
      </x:c>
      <x:c r="B6" s="27" t="str">
        <x:v>Site B / Finance</x:v>
      </x:c>
      <x:c r="C6" s="27" t="str">
        <x:v>Application</x:v>
      </x:c>
      <x:c r="D6" s="27" t="str">
        <x:v>ERP plug-in requires vendor fix.</x:v>
      </x:c>
      <x:c r="E6" s="27" t="str">
        <x:v>Approved VDI</x:v>
      </x:c>
      <x:c r="F6" s="27" t="str">
        <x:v>App Lead</x:v>
      </x:c>
      <x:c r="G6" s="27" t="str">
        <x:v>2026-10-16</x:v>
      </x:c>
      <x:c r="H6" s="27" t="n">
        <x:v>9</x:v>
      </x:c>
      <x:c r="I6" s="27" t="str">
        <x:v>Owned</x:v>
      </x:c>
      <x:c r="J6" s="28" t="str">
        <x:v>Retest</x:v>
      </x:c>
    </x:row>
    <x:row r="7">
      <x:c r="A7" s="26" t="str">
        <x:v>EX-003</x:v>
      </x:c>
      <x:c r="B7" s="27" t="str">
        <x:v>Remote / Worker 344</x:v>
      </x:c>
      <x:c r="C7" s="27" t="str">
        <x:v>Logistics</x:v>
      </x:c>
      <x:c r="D7" s="27" t="str">
        <x:v>Return kit delayed.</x:v>
      </x:c>
      <x:c r="E7" s="27" t="str">
        <x:v>Courier escalation</x:v>
      </x:c>
      <x:c r="F7" s="27" t="str">
        <x:v>Asset Lead</x:v>
      </x:c>
      <x:c r="G7" s="27" t="str">
        <x:v>2026-10-23</x:v>
      </x:c>
      <x:c r="H7" s="27" t="n">
        <x:v>11</x:v>
      </x:c>
      <x:c r="I7" s="27" t="str">
        <x:v>Owned</x:v>
      </x:c>
      <x:c r="J7" s="28" t="str">
        <x:v>Recover asset</x:v>
      </x:c>
    </x:row>
    <x:row r="8">
      <x:c r="A8" s="26" t="str">
        <x:v>EX-004</x:v>
      </x:c>
      <x:c r="B8" s="27" t="str">
        <x:v>Site C / Worker 301</x:v>
      </x:c>
      <x:c r="C8" s="27" t="str">
        <x:v>Accessibility</x:v>
      </x:c>
      <x:c r="D8" s="27" t="str">
        <x:v>Specialized peripheral pending.</x:v>
      </x:c>
      <x:c r="E8" s="27" t="str">
        <x:v>Retain old setup</x:v>
      </x:c>
      <x:c r="F8" s="27" t="str">
        <x:v>Accessibility Lead</x:v>
      </x:c>
      <x:c r="G8" s="27" t="str">
        <x:v>2026-10-30</x:v>
      </x:c>
      <x:c r="H8" s="27" t="n">
        <x:v>7</x:v>
      </x:c>
      <x:c r="I8" s="27" t="str">
        <x:v>Owned</x:v>
      </x:c>
      <x:c r="J8" s="28" t="str">
        <x:v>Specialized deployment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8633ecff6c544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34" hidden="0" customWidth="1"/>
  </x:cols>
  <x:sheetData>
    <x:row r="1" ht="30" customHeight="1">
      <x:c r="A1" s="3" t="str">
        <x:v>Hardware refresh cost baseline and forecast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</x:row>
    <x:row r="4" ht="28" customHeight="1">
      <x:c r="A4" s="9" t="str">
        <x:v>Control account</x:v>
      </x:c>
      <x:c r="B4" s="9" t="str">
        <x:v>Baseline</x:v>
      </x:c>
      <x:c r="C4" s="9" t="str">
        <x:v>Forecast</x:v>
      </x:c>
      <x:c r="D4" s="9" t="str">
        <x:v>Actual</x:v>
      </x:c>
      <x:c r="E4" s="9" t="str">
        <x:v>ETC</x:v>
      </x:c>
      <x:c r="F4" s="9" t="str">
        <x:v>Variance</x:v>
      </x:c>
      <x:c r="G4" s="9" t="str">
        <x:v>Owner</x:v>
      </x:c>
      <x:c r="H4" s="9" t="str">
        <x:v>Evidence</x:v>
      </x:c>
    </x:row>
    <x:row r="5">
      <x:c r="A5" s="23" t="str">
        <x:v>Devices/accessories</x:v>
      </x:c>
      <x:c r="B5" s="29" t="n">
        <x:v>468000</x:v>
      </x:c>
      <x:c r="C5" s="29" t="n">
        <x:v>451000</x:v>
      </x:c>
      <x:c r="D5" s="29" t="n">
        <x:v>442000</x:v>
      </x:c>
      <x:c r="E5" s="29" t="n">
        <x:v>9000</x:v>
      </x:c>
      <x:c r="F5" s="29" t="n">
        <x:f>B5-C5</x:f>
        <x:v>17000</x:v>
      </x:c>
      <x:c r="G5" s="24" t="str">
        <x:v>Procurement Lead</x:v>
      </x:c>
      <x:c r="H5" s="25" t="str">
        <x:v>PO/receipt/invoice</x:v>
      </x:c>
    </x:row>
    <x:row r="6">
      <x:c r="A6" s="26" t="str">
        <x:v>Shipping/logistics</x:v>
      </x:c>
      <x:c r="B6" s="30" t="n">
        <x:v>74000</x:v>
      </x:c>
      <x:c r="C6" s="30" t="n">
        <x:v>69000</x:v>
      </x:c>
      <x:c r="D6" s="30" t="n">
        <x:v>55000</x:v>
      </x:c>
      <x:c r="E6" s="30" t="n">
        <x:v>14000</x:v>
      </x:c>
      <x:c r="F6" s="30" t="n">
        <x:f>B6-C6</x:f>
        <x:v>5000</x:v>
      </x:c>
      <x:c r="G6" s="27" t="str">
        <x:v>Logistics Lead</x:v>
      </x:c>
      <x:c r="H6" s="28" t="str">
        <x:v>Carrier invoices</x:v>
      </x:c>
    </x:row>
    <x:row r="7">
      <x:c r="A7" s="26" t="str">
        <x:v>Staging/deployment labor</x:v>
      </x:c>
      <x:c r="B7" s="30" t="n">
        <x:v>126000</x:v>
      </x:c>
      <x:c r="C7" s="30" t="n">
        <x:v>121400</x:v>
      </x:c>
      <x:c r="D7" s="30" t="n">
        <x:v>87000</x:v>
      </x:c>
      <x:c r="E7" s="30" t="n">
        <x:v>34400</x:v>
      </x:c>
      <x:c r="F7" s="30" t="n">
        <x:f>B7-C7</x:f>
        <x:v>4600</x:v>
      </x:c>
      <x:c r="G7" s="27" t="str">
        <x:v>Deployment Lead</x:v>
      </x:c>
      <x:c r="H7" s="28" t="str">
        <x:v>Time/vendor records</x:v>
      </x:c>
    </x:row>
    <x:row r="8">
      <x:c r="A8" s="26" t="str">
        <x:v>Support/hypercare</x:v>
      </x:c>
      <x:c r="B8" s="30" t="n">
        <x:v>59000</x:v>
      </x:c>
      <x:c r="C8" s="30" t="n">
        <x:v>55000</x:v>
      </x:c>
      <x:c r="D8" s="30" t="n">
        <x:v>31000</x:v>
      </x:c>
      <x:c r="E8" s="30" t="n">
        <x:v>24000</x:v>
      </x:c>
      <x:c r="F8" s="30" t="n">
        <x:f>B8-C8</x:f>
        <x:v>4000</x:v>
      </x:c>
      <x:c r="G8" s="27" t="str">
        <x:v>Service Lead</x:v>
      </x:c>
      <x:c r="H8" s="28" t="str">
        <x:v>Labor/queue forecast</x:v>
      </x:c>
    </x:row>
    <x:row r="9">
      <x:c r="A9" s="26" t="str">
        <x:v>Sanitization/retirement</x:v>
      </x:c>
      <x:c r="B9" s="30" t="n">
        <x:v>37000</x:v>
      </x:c>
      <x:c r="C9" s="30" t="n">
        <x:v>34000</x:v>
      </x:c>
      <x:c r="D9" s="30" t="n">
        <x:v>17000</x:v>
      </x:c>
      <x:c r="E9" s="30" t="n">
        <x:v>17000</x:v>
      </x:c>
      <x:c r="F9" s="30" t="n">
        <x:f>B9-C9</x:f>
        <x:v>3000</x:v>
      </x:c>
      <x:c r="G9" s="27" t="str">
        <x:v>Asset Lead</x:v>
      </x:c>
      <x:c r="H9" s="28" t="str">
        <x:v>Vendor/certificate records</x:v>
      </x:c>
    </x:row>
    <x:row r="10">
      <x:c r="A10" s="26" t="str">
        <x:v>Change/reserve</x:v>
      </x:c>
      <x:c r="B10" s="30" t="n">
        <x:v>28000</x:v>
      </x:c>
      <x:c r="C10" s="30" t="n">
        <x:v>18000</x:v>
      </x:c>
      <x:c r="D10" s="30" t="n">
        <x:v>7000</x:v>
      </x:c>
      <x:c r="E10" s="30" t="n">
        <x:v>11000</x:v>
      </x:c>
      <x:c r="F10" s="30" t="n">
        <x:f>B10-C10</x:f>
        <x:v>10000</x:v>
      </x:c>
      <x:c r="G10" s="27" t="str">
        <x:v>Program Lead</x:v>
      </x:c>
      <x:c r="H10" s="28" t="str">
        <x:v>Change/reserve log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e6389440c4b4e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66" hidden="0" customWidth="1"/>
    <x:col min="4" max="4" width="38" hidden="0" customWidth="1"/>
    <x:col min="5" max="5" width="15" hidden="0" customWidth="1"/>
    <x:col min="6" max="6" width="15" hidden="0" customWidth="1"/>
  </x:cols>
  <x:sheetData>
    <x:row r="1" ht="30" customHeight="1">
      <x:c r="A1" s="3" t="str">
        <x:v>Primary-source research register</x:v>
      </x:c>
      <x:c r="B1" s="3"/>
      <x:c r="C1" s="3"/>
      <x:c r="D1" s="3"/>
      <x:c r="E1" s="3"/>
      <x:c r="F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</x:row>
    <x:row r="4" ht="28" customHeight="1">
      <x:c r="A4" s="9" t="str">
        <x:v>Publisher</x:v>
      </x:c>
      <x:c r="B4" s="9" t="str">
        <x:v>Source</x:v>
      </x:c>
      <x:c r="C4" s="9" t="str">
        <x:v>URL</x:v>
      </x:c>
      <x:c r="D4" s="9" t="str">
        <x:v>Use</x:v>
      </x:c>
      <x:c r="E4" s="9" t="str">
        <x:v>Accessed</x:v>
      </x:c>
      <x:c r="F4" s="9" t="str">
        <x:v>Authority</x:v>
      </x:c>
    </x:row>
    <x:row r="5">
      <x:c r="A5" s="23" t="str">
        <x:v>PMI</x:v>
      </x:c>
      <x:c r="B5" s="24" t="str">
        <x:v>PMBOK Guide Eighth Edition</x:v>
      </x:c>
      <x:c r="C5" s="24" t="str">
        <x:v>https://www.pmi.org/standards/pmbok</x:v>
      </x:c>
      <x:c r="D5" s="24" t="str">
        <x:v>Principles, domains, tailoring</x:v>
      </x:c>
      <x:c r="E5" s="24" t="str">
        <x:v>2026-08-25</x:v>
      </x:c>
      <x:c r="F5" s="25" t="str">
        <x:v>Primary</x:v>
      </x:c>
    </x:row>
    <x:row r="6">
      <x:c r="A6" s="26" t="str">
        <x:v>PMI</x:v>
      </x:c>
      <x:c r="B6" s="27" t="str">
        <x:v>Process Groups</x:v>
      </x:c>
      <x:c r="C6" s="27" t="str">
        <x:v>https://www.pmi.org/standards/process-groups</x:v>
      </x:c>
      <x:c r="D6" s="27" t="str">
        <x:v>Predictive lifecycle</x:v>
      </x:c>
      <x:c r="E6" s="27" t="str">
        <x:v>2026-08-25</x:v>
      </x:c>
      <x:c r="F6" s="28" t="str">
        <x:v>Primary</x:v>
      </x:c>
    </x:row>
    <x:row r="7">
      <x:c r="A7" s="26" t="str">
        <x:v>Scrum Guides</x:v>
      </x:c>
      <x:c r="B7" s="27" t="str">
        <x:v>Scrum Guide</x:v>
      </x:c>
      <x:c r="C7" s="27" t="str">
        <x:v>https://scrumguides.org/scrum-guide.html</x:v>
      </x:c>
      <x:c r="D7" s="27" t="str">
        <x:v>Scrum accountabilities/events/artifacts</x:v>
      </x:c>
      <x:c r="E7" s="27" t="str">
        <x:v>2026-08-25</x:v>
      </x:c>
      <x:c r="F7" s="28" t="str">
        <x:v>Primary</x:v>
      </x:c>
    </x:row>
    <x:row r="8">
      <x:c r="A8" s="26" t="str">
        <x:v>Kanban Guides</x:v>
      </x:c>
      <x:c r="B8" s="27" t="str">
        <x:v>Kanban Guide</x:v>
      </x:c>
      <x:c r="C8" s="27" t="str">
        <x:v>https://kanbanguides.org/the-kanban-guide/</x:v>
      </x:c>
      <x:c r="D8" s="27" t="str">
        <x:v>Workflow, WIP, SLE, flow metrics</x:v>
      </x:c>
      <x:c r="E8" s="27" t="str">
        <x:v>2026-08-25</x:v>
      </x:c>
      <x:c r="F8" s="28" t="str">
        <x:v>Primary</x:v>
      </x:c>
    </x:row>
    <x:row r="9">
      <x:c r="A9" s="26" t="str">
        <x:v>NIST</x:v>
      </x:c>
      <x:c r="B9" s="27" t="str">
        <x:v>SP 800-88 Rev. 2</x:v>
      </x:c>
      <x:c r="C9" s="27" t="str">
        <x:v>https://csrc.nist.gov/pubs/sp/800/88/r2/final</x:v>
      </x:c>
      <x:c r="D9" s="27" t="str">
        <x:v>Sanitization program</x:v>
      </x:c>
      <x:c r="E9" s="27" t="str">
        <x:v>2026-08-25</x:v>
      </x:c>
      <x:c r="F9" s="28" t="str">
        <x:v>Primary</x:v>
      </x:c>
    </x:row>
    <x:row r="10">
      <x:c r="A10" s="26" t="str">
        <x:v>Microsoft</x:v>
      </x:c>
      <x:c r="B10" s="27" t="str">
        <x:v>Windows Autopilot overview</x:v>
      </x:c>
      <x:c r="C10" s="27" t="str">
        <x:v>https://learn.microsoft.com/en-us/autopilot/overview</x:v>
      </x:c>
      <x:c r="D10" s="27" t="str">
        <x:v>Provisioning</x:v>
      </x:c>
      <x:c r="E10" s="27" t="str">
        <x:v>2026-08-25</x:v>
      </x:c>
      <x:c r="F10" s="28" t="str">
        <x:v>Primary</x:v>
      </x:c>
    </x:row>
    <x:row r="11">
      <x:c r="A11" s="26" t="str">
        <x:v>Microsoft</x:v>
      </x:c>
      <x:c r="B11" s="27" t="str">
        <x:v>Intune compliance</x:v>
      </x:c>
      <x:c r="C11" s="27" t="str">
        <x:v>https://learn.microsoft.com/en-us/intune/device-security/compliance/overview</x:v>
      </x:c>
      <x:c r="D11" s="27" t="str">
        <x:v>Compliance validation</x:v>
      </x:c>
      <x:c r="E11" s="27" t="str">
        <x:v>2026-08-25</x:v>
      </x:c>
      <x:c r="F11" s="28" t="str">
        <x:v>Primary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a99141b2bc5462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20" hidden="0" customWidth="1"/>
    <x:col min="4" max="4" width="15" hidden="0" customWidth="1"/>
    <x:col min="5" max="5" width="15" hidden="0" customWidth="1"/>
    <x:col min="6" max="6" width="35" hidden="0" customWidth="1"/>
    <x:col min="7" max="7" width="28" hidden="0" customWidth="1"/>
    <x:col min="8" max="8" width="25" hidden="0" customWidth="1"/>
    <x:col min="9" max="9" width="35" hidden="0" customWidth="1"/>
  </x:cols>
  <x:sheetData>
    <x:row r="1" ht="30" customHeight="1">
      <x:c r="A1" s="3" t="str">
        <x:v>Reusable blank control register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9" t="str">
        <x:v>ID</x:v>
      </x:c>
      <x:c r="B4" s="9" t="str">
        <x:v>Item</x:v>
      </x:c>
      <x:c r="C4" s="9" t="str">
        <x:v>Owner</x:v>
      </x:c>
      <x:c r="D4" s="9" t="str">
        <x:v>Due</x:v>
      </x:c>
      <x:c r="E4" s="9" t="str">
        <x:v>State</x:v>
      </x:c>
      <x:c r="F4" s="9" t="str">
        <x:v>Acceptance</x:v>
      </x:c>
      <x:c r="G4" s="9" t="str">
        <x:v>Evidence</x:v>
      </x:c>
      <x:c r="H4" s="9" t="str">
        <x:v>Decision</x:v>
      </x:c>
      <x:c r="I4" s="9" t="str">
        <x:v>Notes</x:v>
      </x:c>
    </x:row>
    <x:row r="5">
      <x:c r="A5" s="23" t="str">
        <x:v>[ENTER]</x:v>
      </x:c>
      <x:c r="B5" s="24" t="str">
        <x:v>[ENTER]</x:v>
      </x:c>
      <x:c r="C5" s="24" t="str">
        <x:v>[ENTER]</x:v>
      </x:c>
      <x:c r="D5" s="24" t="str">
        <x:v>[ENTER]</x:v>
      </x:c>
      <x:c r="E5" s="24" t="str">
        <x:v>[ENTER]</x:v>
      </x:c>
      <x:c r="F5" s="24" t="str">
        <x:v>[ENTER]</x:v>
      </x:c>
      <x:c r="G5" s="24" t="str">
        <x:v>[LINK]</x:v>
      </x:c>
      <x:c r="H5" s="24" t="str">
        <x:v>[ENTER]</x:v>
      </x:c>
      <x:c r="I5" s="25" t="str">
        <x:v>[ENTER]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5badecee95643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7" hidden="0" customWidth="1"/>
    <x:col min="5" max="5" width="19" hidden="0" customWidth="1"/>
    <x:col min="6" max="6" width="27" hidden="0" customWidth="1"/>
    <x:col min="7" max="7" width="22" hidden="0" customWidth="1"/>
    <x:col min="8" max="8" width="15" hidden="0" customWidth="1"/>
    <x:col min="10" max="10" width="16" hidden="0" customWidth="1"/>
    <x:col min="11" max="11" width="16" hidden="0" customWidth="1"/>
  </x:cols>
  <x:sheetData>
    <x:row r="1" ht="30" customHeight="1">
      <x:c r="A1" s="3" t="str">
        <x:v>Hardware Refresh — Kanban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1" t="str">
        <x:v>FLOW</x:v>
      </x:c>
      <x:c r="B4" s="31" t="str">
        <x:v>VALUE</x:v>
      </x:c>
      <x:c r="D4" s="31" t="str">
        <x:v>CONTROL</x:v>
      </x:c>
      <x:c r="E4" s="31" t="str">
        <x:v>VALUE</x:v>
      </x:c>
      <x:c r="J4" t="str">
        <x:v>Wave</x:v>
      </x:c>
      <x:c r="K4" t="str">
        <x:v>Deployed</x:v>
      </x:c>
    </x:row>
    <x:row r="5">
      <x:c r="A5" s="33" t="str">
        <x:v>Deployed</x:v>
      </x:c>
      <x:c r="B5" s="37" t="n">
        <x:f>'Deployment Waves'!C10</x:f>
        <x:v>344</x:v>
      </x:c>
      <x:c r="D5" s="33" t="str">
        <x:v>Exceptions</x:v>
      </x:c>
      <x:c r="E5" s="37" t="n">
        <x:f>'Deployment Waves'!H10</x:f>
        <x:v>16</x:v>
      </x:c>
      <x:c r="J5" t="str">
        <x:v>Pilot</x:v>
      </x:c>
      <x:c r="K5" t="n">
        <x:f>'Deployment Waves'!C5</x:f>
        <x:v>20</x:v>
      </x:c>
    </x:row>
    <x:row r="6">
      <x:c r="A6" s="35" t="str">
        <x:v>Throughput/week</x:v>
      </x:c>
      <x:c r="B6" s="38" t="n">
        <x:f>42</x:f>
        <x:v>42</x:v>
      </x:c>
      <x:c r="D6" s="35" t="str">
        <x:v>Open RAID</x:v>
      </x:c>
      <x:c r="E6" s="38" t="n">
        <x:f>COUNTIF(RAID!J5:J100,"Open")</x:f>
        <x:v>3</x:v>
      </x:c>
      <x:c r="J6" t="str">
        <x:v>Site A</x:v>
      </x:c>
      <x:c r="K6" t="n">
        <x:f>'Deployment Waves'!C6</x:f>
        <x:v>94</x:v>
      </x:c>
    </x:row>
    <x:row r="7">
      <x:c r="A7" s="35" t="str">
        <x:v>Median cycle days</x:v>
      </x:c>
      <x:c r="B7" s="39" t="n">
        <x:f>3.4</x:f>
        <x:v>3.4</x:v>
      </x:c>
      <x:c r="D7" s="35" t="str">
        <x:v>FTR</x:v>
      </x:c>
      <x:c r="E7" s="40" t="n">
        <x:f>'Deployment Waves'!D10/'Deployment Waves'!C10</x:f>
        <x:v>0.9767441860465116</x:v>
      </x:c>
      <x:c r="J7" t="str">
        <x:v>Site B</x:v>
      </x:c>
      <x:c r="K7" t="n">
        <x:f>'Deployment Waves'!C7</x:f>
        <x:v>87</x:v>
      </x:c>
    </x:row>
    <x:row r="8">
      <x:c r="A8" s="35" t="str">
        <x:v>P85 days</x:v>
      </x:c>
      <x:c r="B8" s="39" t="n">
        <x:f>6.2</x:f>
        <x:v>6.2</x:v>
      </x:c>
      <x:c r="D8" s="35" t="str">
        <x:v>Returns</x:v>
      </x:c>
      <x:c r="E8" s="40" t="n">
        <x:f>'Deployment Waves'!G10/'Deployment Waves'!C10</x:f>
        <x:v>0.9709302325581395</x:v>
      </x:c>
      <x:c r="J8" t="str">
        <x:v>Site C</x:v>
      </x:c>
      <x:c r="K8" t="n">
        <x:f>'Deployment Waves'!C8</x:f>
        <x:v>71</x:v>
      </x:c>
    </x:row>
    <x:row r="9">
      <x:c r="J9" t="str">
        <x:v>Remote</x:v>
      </x:c>
      <x:c r="K9" t="n">
        <x:f>'Deployment Waves'!C9</x:f>
        <x:v>72</x:v>
      </x:c>
    </x:row>
    <x:row r="10" ht="34" customHeight="1">
      <x:c r="A10" s="43" t="str">
        <x:v>Decision: stop starting remote work when exception/return lanes exceed WIP; swarm the oldest item at 75% of SLE.</x:v>
      </x:c>
      <x:c r="B10" s="43"/>
      <x:c r="C10" s="43"/>
      <x:c r="D10" s="43"/>
      <x:c r="E10" s="43"/>
      <x:c r="F10" s="43"/>
      <x:c r="G10" s="43"/>
      <x:c r="H10" s="43"/>
    </x:row>
    <x:row r="12">
      <x:c r="A12" s="47" t="str">
        <x:v>Dimension</x:v>
      </x:c>
      <x:c r="B12" s="48" t="str">
        <x:v>Current evidence</x:v>
      </x:c>
      <x:c r="C12" s="48" t="str">
        <x:v>Threshold</x:v>
      </x:c>
      <x:c r="D12" s="48" t="str">
        <x:v>State</x:v>
      </x:c>
      <x:c r="E12" s="48" t="str">
        <x:v>Owner</x:v>
      </x:c>
      <x:c r="F12" s="48" t="str">
        <x:v>Decision / action</x:v>
      </x:c>
      <x:c r="G12" s="48" t="str">
        <x:v>Source</x:v>
      </x:c>
      <x:c r="H12" s="49" t="str">
        <x:v>Confidence</x:v>
      </x:c>
    </x:row>
    <x:row r="13">
      <x:c r="A13" s="20" t="str">
        <x:v>User outcome</x:v>
      </x:c>
      <x:c r="B13" s="21" t="str">
        <x:v>344/360 deployed</x:v>
      </x:c>
      <x:c r="C13" s="21" t="str">
        <x:v>360 final dispositions</x:v>
      </x:c>
      <x:c r="D13" s="21" t="str">
        <x:v>Conditional</x:v>
      </x:c>
      <x:c r="E13" s="21" t="str">
        <x:v>Wave Lead</x:v>
      </x:c>
      <x:c r="F13" s="21" t="str">
        <x:v>Own every remaining exception</x:v>
      </x:c>
      <x:c r="G13" s="21" t="str">
        <x:v>Deployment Waves</x:v>
      </x:c>
      <x:c r="H13" s="22" t="str">
        <x:v>Scenario</x:v>
      </x:c>
    </x:row>
    <x:row r="14">
      <x:c r="A14" s="20" t="str">
        <x:v>Quality</x:v>
      </x:c>
      <x:c r="B14" s="21" t="str">
        <x:v>97.7% FTR</x:v>
      </x:c>
      <x:c r="C14" s="21" t="str">
        <x:v>&gt;=97%</x:v>
      </x:c>
      <x:c r="D14" s="21" t="str">
        <x:v>Pass</x:v>
      </x:c>
      <x:c r="E14" s="21" t="str">
        <x:v>Quality Lead</x:v>
      </x:c>
      <x:c r="F14" s="21" t="str">
        <x:v>Correct recurring defects</x:v>
      </x:c>
      <x:c r="G14" s="21" t="str">
        <x:v>Deployment Waves</x:v>
      </x:c>
      <x:c r="H14" s="22" t="str">
        <x:v>Scenario</x:v>
      </x:c>
    </x:row>
    <x:row r="15">
      <x:c r="A15" s="20" t="str">
        <x:v>Security/data</x:v>
      </x:c>
      <x:c r="B15" s="21" t="str">
        <x:v>98.5% / 99.4%</x:v>
      </x:c>
      <x:c r="C15" s="21" t="str">
        <x:v>&gt;=98% / 99%</x:v>
      </x:c>
      <x:c r="D15" s="21" t="str">
        <x:v>Pass</x:v>
      </x:c>
      <x:c r="E15" s="21" t="str">
        <x:v>Security/Data</x:v>
      </x:c>
      <x:c r="F15" s="21" t="str">
        <x:v>Close five compliance and two data exceptions</x:v>
      </x:c>
      <x:c r="G15" s="21" t="str">
        <x:v>Deployment Waves</x:v>
      </x:c>
      <x:c r="H15" s="22" t="str">
        <x:v>Scenario</x:v>
      </x:c>
    </x:row>
    <x:row r="16">
      <x:c r="A16" s="20" t="str">
        <x:v>Asset</x:v>
      </x:c>
      <x:c r="B16" s="21" t="str">
        <x:v>97.1% returns</x:v>
      </x:c>
      <x:c r="C16" s="21" t="str">
        <x:v>100% final disposition</x:v>
      </x:c>
      <x:c r="D16" s="21" t="str">
        <x:v>Watch</x:v>
      </x:c>
      <x:c r="E16" s="21" t="str">
        <x:v>Asset Lead</x:v>
      </x:c>
      <x:c r="F16" s="21" t="str">
        <x:v>Recover/quarantine open assets</x:v>
      </x:c>
      <x:c r="G16" s="21" t="str">
        <x:v>Sanitization</x:v>
      </x:c>
      <x:c r="H16" s="22" t="str">
        <x:v>Scenario</x:v>
      </x:c>
    </x:row>
  </x:sheetData>
  <x:mergeCells>
    <x:mergeCell ref="A1:L1"/>
    <x:mergeCell ref="A2:L2"/>
    <x:mergeCell ref="A10:H10"/>
  </x:mergeCells>
  <x:pageMargins left="0.7" right="0.7" top="0.75" bottom="0.75" header="0.3" footer="0.3"/>
  <x:drawing xmlns:r="http://schemas.openxmlformats.org/officeDocument/2006/relationships" r:id="R54c6769baccf4fdb"/>
  <x:tableParts count="1">
    <x:tablePart xmlns:r="http://schemas.openxmlformats.org/officeDocument/2006/relationships" r:id="Rd59e6c87f937435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7" hidden="0" customWidth="1"/>
    <x:col min="5" max="5" width="19" hidden="0" customWidth="1"/>
    <x:col min="6" max="6" width="27" hidden="0" customWidth="1"/>
    <x:col min="7" max="7" width="22" hidden="0" customWidth="1"/>
    <x:col min="8" max="8" width="15" hidden="0" customWidth="1"/>
    <x:col min="10" max="10" width="16" hidden="0" customWidth="1"/>
    <x:col min="11" max="11" width="16" hidden="0" customWidth="1"/>
  </x:cols>
  <x:sheetData>
    <x:row r="1" ht="30" customHeight="1">
      <x:c r="A1" s="3" t="str">
        <x:v>Hardware Refresh — Scrum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1" t="str">
        <x:v>INCREMENT</x:v>
      </x:c>
      <x:c r="B4" s="31" t="str">
        <x:v>VALUE</x:v>
      </x:c>
      <x:c r="D4" s="31" t="str">
        <x:v>CONTROL</x:v>
      </x:c>
      <x:c r="E4" s="31" t="str">
        <x:v>VALUE</x:v>
      </x:c>
      <x:c r="J4" t="str">
        <x:v>Wave</x:v>
      </x:c>
      <x:c r="K4" t="str">
        <x:v>Deployed</x:v>
      </x:c>
    </x:row>
    <x:row r="5">
      <x:c r="A5" s="33" t="str">
        <x:v>Accepted</x:v>
      </x:c>
      <x:c r="B5" s="37" t="n">
        <x:f>'Deployment Waves'!C10</x:f>
        <x:v>344</x:v>
      </x:c>
      <x:c r="D5" s="33" t="str">
        <x:v>Data pass</x:v>
      </x:c>
      <x:c r="E5" s="50" t="n">
        <x:f>'Deployment Waves'!E10/'Deployment Waves'!C10</x:f>
        <x:v>0.9941860465116279</x:v>
      </x:c>
      <x:c r="J5" t="str">
        <x:v>Pilot</x:v>
      </x:c>
      <x:c r="K5" t="n">
        <x:f>'Deployment Waves'!C5</x:f>
        <x:v>20</x:v>
      </x:c>
    </x:row>
    <x:row r="6">
      <x:c r="A6" s="35" t="str">
        <x:v>PBIs remaining</x:v>
      </x:c>
      <x:c r="B6" s="38" t="n">
        <x:f>'Deployment Waves'!B10-'Deployment Waves'!C10</x:f>
        <x:v>16</x:v>
      </x:c>
      <x:c r="D6" s="35" t="str">
        <x:v>Compliance</x:v>
      </x:c>
      <x:c r="E6" s="40" t="n">
        <x:f>'Deployment Waves'!F10/'Deployment Waves'!C10</x:f>
        <x:v>0.9854651162790697</x:v>
      </x:c>
      <x:c r="J6" t="str">
        <x:v>Site A</x:v>
      </x:c>
      <x:c r="K6" t="n">
        <x:f>'Deployment Waves'!C6</x:f>
        <x:v>94</x:v>
      </x:c>
    </x:row>
    <x:row r="7">
      <x:c r="A7" s="35" t="str">
        <x:v>Sprint</x:v>
      </x:c>
      <x:c r="B7" s="38" t="n">
        <x:f>9</x:f>
        <x:v>9</x:v>
      </x:c>
      <x:c r="D7" s="35" t="str">
        <x:v>Returns</x:v>
      </x:c>
      <x:c r="E7" s="40" t="n">
        <x:f>'Deployment Waves'!G10/'Deployment Waves'!C10</x:f>
        <x:v>0.9709302325581395</x:v>
      </x:c>
      <x:c r="J7" t="str">
        <x:v>Site B</x:v>
      </x:c>
      <x:c r="K7" t="n">
        <x:f>'Deployment Waves'!C7</x:f>
        <x:v>87</x:v>
      </x:c>
    </x:row>
    <x:row r="8">
      <x:c r="A8" s="35" t="str">
        <x:v>FTR</x:v>
      </x:c>
      <x:c r="B8" s="40" t="n">
        <x:f>'Deployment Waves'!D10/'Deployment Waves'!C10</x:f>
        <x:v>0.9767441860465116</x:v>
      </x:c>
      <x:c r="D8" s="35" t="str">
        <x:v>Open RAID</x:v>
      </x:c>
      <x:c r="E8" s="38" t="n">
        <x:f>COUNTIF(RAID!J5:J100,"Open")</x:f>
        <x:v>3</x:v>
      </x:c>
      <x:c r="J8" t="str">
        <x:v>Site C</x:v>
      </x:c>
      <x:c r="K8" t="n">
        <x:f>'Deployment Waves'!C8</x:f>
        <x:v>71</x:v>
      </x:c>
    </x:row>
    <x:row r="9">
      <x:c r="J9" t="str">
        <x:v>Remote</x:v>
      </x:c>
      <x:c r="K9" t="n">
        <x:f>'Deployment Waves'!C9</x:f>
        <x:v>72</x:v>
      </x:c>
    </x:row>
    <x:row r="10" ht="34" customHeight="1">
      <x:c r="A10" s="43" t="str">
        <x:v>Decision: only security/data/asset-accepted cohorts count in the Increment; incomplete work returns to the Product Backlog.</x:v>
      </x:c>
      <x:c r="B10" s="43"/>
      <x:c r="C10" s="43"/>
      <x:c r="D10" s="43"/>
      <x:c r="E10" s="43"/>
      <x:c r="F10" s="43"/>
      <x:c r="G10" s="43"/>
      <x:c r="H10" s="43"/>
    </x:row>
    <x:row r="12">
      <x:c r="A12" s="47" t="str">
        <x:v>Dimension</x:v>
      </x:c>
      <x:c r="B12" s="48" t="str">
        <x:v>Current evidence</x:v>
      </x:c>
      <x:c r="C12" s="48" t="str">
        <x:v>Threshold</x:v>
      </x:c>
      <x:c r="D12" s="48" t="str">
        <x:v>State</x:v>
      </x:c>
      <x:c r="E12" s="48" t="str">
        <x:v>Owner</x:v>
      </x:c>
      <x:c r="F12" s="48" t="str">
        <x:v>Decision / action</x:v>
      </x:c>
      <x:c r="G12" s="48" t="str">
        <x:v>Source</x:v>
      </x:c>
      <x:c r="H12" s="49" t="str">
        <x:v>Confidence</x:v>
      </x:c>
    </x:row>
    <x:row r="13">
      <x:c r="A13" s="20" t="str">
        <x:v>User outcome</x:v>
      </x:c>
      <x:c r="B13" s="21" t="str">
        <x:v>344/360 deployed</x:v>
      </x:c>
      <x:c r="C13" s="21" t="str">
        <x:v>360 final dispositions</x:v>
      </x:c>
      <x:c r="D13" s="21" t="str">
        <x:v>Conditional</x:v>
      </x:c>
      <x:c r="E13" s="21" t="str">
        <x:v>Wave Lead</x:v>
      </x:c>
      <x:c r="F13" s="21" t="str">
        <x:v>Own every remaining exception</x:v>
      </x:c>
      <x:c r="G13" s="21" t="str">
        <x:v>Deployment Waves</x:v>
      </x:c>
      <x:c r="H13" s="22" t="str">
        <x:v>Scenario</x:v>
      </x:c>
    </x:row>
    <x:row r="14">
      <x:c r="A14" s="20" t="str">
        <x:v>Quality</x:v>
      </x:c>
      <x:c r="B14" s="21" t="str">
        <x:v>97.7% FTR</x:v>
      </x:c>
      <x:c r="C14" s="21" t="str">
        <x:v>&gt;=97%</x:v>
      </x:c>
      <x:c r="D14" s="21" t="str">
        <x:v>Pass</x:v>
      </x:c>
      <x:c r="E14" s="21" t="str">
        <x:v>Quality Lead</x:v>
      </x:c>
      <x:c r="F14" s="21" t="str">
        <x:v>Correct recurring defects</x:v>
      </x:c>
      <x:c r="G14" s="21" t="str">
        <x:v>Deployment Waves</x:v>
      </x:c>
      <x:c r="H14" s="22" t="str">
        <x:v>Scenario</x:v>
      </x:c>
    </x:row>
    <x:row r="15">
      <x:c r="A15" s="20" t="str">
        <x:v>Security/data</x:v>
      </x:c>
      <x:c r="B15" s="21" t="str">
        <x:v>98.5% / 99.4%</x:v>
      </x:c>
      <x:c r="C15" s="21" t="str">
        <x:v>&gt;=98% / 99%</x:v>
      </x:c>
      <x:c r="D15" s="21" t="str">
        <x:v>Pass</x:v>
      </x:c>
      <x:c r="E15" s="21" t="str">
        <x:v>Security/Data</x:v>
      </x:c>
      <x:c r="F15" s="21" t="str">
        <x:v>Close five compliance and two data exceptions</x:v>
      </x:c>
      <x:c r="G15" s="21" t="str">
        <x:v>Deployment Waves</x:v>
      </x:c>
      <x:c r="H15" s="22" t="str">
        <x:v>Scenario</x:v>
      </x:c>
    </x:row>
    <x:row r="16">
      <x:c r="A16" s="20" t="str">
        <x:v>Asset</x:v>
      </x:c>
      <x:c r="B16" s="21" t="str">
        <x:v>97.1% returns</x:v>
      </x:c>
      <x:c r="C16" s="21" t="str">
        <x:v>100% final disposition</x:v>
      </x:c>
      <x:c r="D16" s="21" t="str">
        <x:v>Watch</x:v>
      </x:c>
      <x:c r="E16" s="21" t="str">
        <x:v>Asset Lead</x:v>
      </x:c>
      <x:c r="F16" s="21" t="str">
        <x:v>Recover/quarantine open assets</x:v>
      </x:c>
      <x:c r="G16" s="21" t="str">
        <x:v>Sanitization</x:v>
      </x:c>
      <x:c r="H16" s="22" t="str">
        <x:v>Scenario</x:v>
      </x:c>
    </x:row>
  </x:sheetData>
  <x:mergeCells>
    <x:mergeCell ref="A1:L1"/>
    <x:mergeCell ref="A2:L2"/>
    <x:mergeCell ref="A10:H10"/>
  </x:mergeCells>
  <x:pageMargins left="0.7" right="0.7" top="0.75" bottom="0.75" header="0.3" footer="0.3"/>
  <x:drawing xmlns:r="http://schemas.openxmlformats.org/officeDocument/2006/relationships" r:id="Rd1231ffad23242d2"/>
  <x:tableParts count="1">
    <x:tablePart xmlns:r="http://schemas.openxmlformats.org/officeDocument/2006/relationships" r:id="R94cc8efbb84144c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7" hidden="0" customWidth="1"/>
    <x:col min="5" max="5" width="19" hidden="0" customWidth="1"/>
    <x:col min="6" max="6" width="27" hidden="0" customWidth="1"/>
    <x:col min="7" max="7" width="22" hidden="0" customWidth="1"/>
    <x:col min="8" max="8" width="15" hidden="0" customWidth="1"/>
    <x:col min="10" max="10" width="16" hidden="0" customWidth="1"/>
    <x:col min="11" max="11" width="16" hidden="0" customWidth="1"/>
  </x:cols>
  <x:sheetData>
    <x:row r="1" ht="30" customHeight="1">
      <x:c r="A1" s="3" t="str">
        <x:v>Hardware Refresh — Predictive / Waterfall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1" t="str">
        <x:v>BASELINE</x:v>
      </x:c>
      <x:c r="B4" s="31" t="str">
        <x:v>VALUE</x:v>
      </x:c>
      <x:c r="D4" s="31" t="str">
        <x:v>CONTROL</x:v>
      </x:c>
      <x:c r="E4" s="31" t="str">
        <x:v>VALUE</x:v>
      </x:c>
      <x:c r="J4" t="str">
        <x:v>Wave</x:v>
      </x:c>
      <x:c r="K4" t="str">
        <x:v>Deployed</x:v>
      </x:c>
    </x:row>
    <x:row r="5">
      <x:c r="A5" s="33" t="str">
        <x:v>SPI</x:v>
      </x:c>
      <x:c r="B5" s="51" t="n">
        <x:f>0.97</x:f>
        <x:v>0.97</x:v>
      </x:c>
      <x:c r="D5" s="33" t="str">
        <x:v>Deployed</x:v>
      </x:c>
      <x:c r="E5" s="37" t="n">
        <x:f>'Deployment Waves'!C10</x:f>
        <x:v>344</x:v>
      </x:c>
      <x:c r="J5" t="str">
        <x:v>Pilot</x:v>
      </x:c>
      <x:c r="K5" t="n">
        <x:f>'Deployment Waves'!C5</x:f>
        <x:v>20</x:v>
      </x:c>
    </x:row>
    <x:row r="6">
      <x:c r="A6" s="35" t="str">
        <x:v>CPI</x:v>
      </x:c>
      <x:c r="B6" s="52" t="n">
        <x:f>1.03</x:f>
        <x:v>1.03</x:v>
      </x:c>
      <x:c r="D6" s="35" t="str">
        <x:v>Exceptions</x:v>
      </x:c>
      <x:c r="E6" s="38" t="n">
        <x:f>'Deployment Waves'!H10</x:f>
        <x:v>16</x:v>
      </x:c>
      <x:c r="J6" t="str">
        <x:v>Site A</x:v>
      </x:c>
      <x:c r="K6" t="n">
        <x:f>'Deployment Waves'!C6</x:f>
        <x:v>94</x:v>
      </x:c>
    </x:row>
    <x:row r="7">
      <x:c r="A7" s="35" t="str">
        <x:v>Forecast</x:v>
      </x:c>
      <x:c r="B7" s="53" t="n">
        <x:f>SUM(Budget!C5:C10)</x:f>
        <x:v>748400</x:v>
      </x:c>
      <x:c r="D7" s="35" t="str">
        <x:v>Week</x:v>
      </x:c>
      <x:c r="E7" s="38" t="n">
        <x:f>16</x:f>
        <x:v>16</x:v>
      </x:c>
      <x:c r="J7" t="str">
        <x:v>Site B</x:v>
      </x:c>
      <x:c r="K7" t="n">
        <x:f>'Deployment Waves'!C7</x:f>
        <x:v>87</x:v>
      </x:c>
    </x:row>
    <x:row r="8">
      <x:c r="A8" s="35" t="str">
        <x:v>VAC</x:v>
      </x:c>
      <x:c r="B8" s="53" t="n">
        <x:f>SUM(Budget!F5:F10)</x:f>
        <x:v>43600</x:v>
      </x:c>
      <x:c r="D8" s="35" t="str">
        <x:v>Finish week</x:v>
      </x:c>
      <x:c r="E8" s="38" t="n">
        <x:f>18</x:f>
        <x:v>18</x:v>
      </x:c>
      <x:c r="J8" t="str">
        <x:v>Site C</x:v>
      </x:c>
      <x:c r="K8" t="n">
        <x:f>'Deployment Waves'!C8</x:f>
        <x:v>71</x:v>
      </x:c>
    </x:row>
    <x:row r="9">
      <x:c r="J9" t="str">
        <x:v>Remote</x:v>
      </x:c>
      <x:c r="K9" t="n">
        <x:f>'Deployment Waves'!C9</x:f>
        <x:v>72</x:v>
      </x:c>
    </x:row>
    <x:row r="10" ht="34" customHeight="1">
      <x:c r="A10" s="43" t="str">
        <x:v>Decision: maintain Week 18 baseline; control exception scope under rolling-wave work packages without weakening gate evidence.</x:v>
      </x:c>
      <x:c r="B10" s="43"/>
      <x:c r="C10" s="43"/>
      <x:c r="D10" s="43"/>
      <x:c r="E10" s="43"/>
      <x:c r="F10" s="43"/>
      <x:c r="G10" s="43"/>
      <x:c r="H10" s="43"/>
    </x:row>
    <x:row r="12">
      <x:c r="A12" s="47" t="str">
        <x:v>Dimension</x:v>
      </x:c>
      <x:c r="B12" s="48" t="str">
        <x:v>Current evidence</x:v>
      </x:c>
      <x:c r="C12" s="48" t="str">
        <x:v>Threshold</x:v>
      </x:c>
      <x:c r="D12" s="48" t="str">
        <x:v>State</x:v>
      </x:c>
      <x:c r="E12" s="48" t="str">
        <x:v>Owner</x:v>
      </x:c>
      <x:c r="F12" s="48" t="str">
        <x:v>Decision / action</x:v>
      </x:c>
      <x:c r="G12" s="48" t="str">
        <x:v>Source</x:v>
      </x:c>
      <x:c r="H12" s="49" t="str">
        <x:v>Confidence</x:v>
      </x:c>
    </x:row>
    <x:row r="13">
      <x:c r="A13" s="20" t="str">
        <x:v>User outcome</x:v>
      </x:c>
      <x:c r="B13" s="21" t="str">
        <x:v>344/360 deployed</x:v>
      </x:c>
      <x:c r="C13" s="21" t="str">
        <x:v>360 final dispositions</x:v>
      </x:c>
      <x:c r="D13" s="21" t="str">
        <x:v>Conditional</x:v>
      </x:c>
      <x:c r="E13" s="21" t="str">
        <x:v>Wave Lead</x:v>
      </x:c>
      <x:c r="F13" s="21" t="str">
        <x:v>Own every remaining exception</x:v>
      </x:c>
      <x:c r="G13" s="21" t="str">
        <x:v>Deployment Waves</x:v>
      </x:c>
      <x:c r="H13" s="22" t="str">
        <x:v>Scenario</x:v>
      </x:c>
    </x:row>
    <x:row r="14">
      <x:c r="A14" s="20" t="str">
        <x:v>Quality</x:v>
      </x:c>
      <x:c r="B14" s="21" t="str">
        <x:v>97.7% FTR</x:v>
      </x:c>
      <x:c r="C14" s="21" t="str">
        <x:v>&gt;=97%</x:v>
      </x:c>
      <x:c r="D14" s="21" t="str">
        <x:v>Pass</x:v>
      </x:c>
      <x:c r="E14" s="21" t="str">
        <x:v>Quality Lead</x:v>
      </x:c>
      <x:c r="F14" s="21" t="str">
        <x:v>Correct recurring defects</x:v>
      </x:c>
      <x:c r="G14" s="21" t="str">
        <x:v>Deployment Waves</x:v>
      </x:c>
      <x:c r="H14" s="22" t="str">
        <x:v>Scenario</x:v>
      </x:c>
    </x:row>
    <x:row r="15">
      <x:c r="A15" s="20" t="str">
        <x:v>Security/data</x:v>
      </x:c>
      <x:c r="B15" s="21" t="str">
        <x:v>98.5% / 99.4%</x:v>
      </x:c>
      <x:c r="C15" s="21" t="str">
        <x:v>&gt;=98% / 99%</x:v>
      </x:c>
      <x:c r="D15" s="21" t="str">
        <x:v>Pass</x:v>
      </x:c>
      <x:c r="E15" s="21" t="str">
        <x:v>Security/Data</x:v>
      </x:c>
      <x:c r="F15" s="21" t="str">
        <x:v>Close five compliance and two data exceptions</x:v>
      </x:c>
      <x:c r="G15" s="21" t="str">
        <x:v>Deployment Waves</x:v>
      </x:c>
      <x:c r="H15" s="22" t="str">
        <x:v>Scenario</x:v>
      </x:c>
    </x:row>
    <x:row r="16">
      <x:c r="A16" s="20" t="str">
        <x:v>Asset</x:v>
      </x:c>
      <x:c r="B16" s="21" t="str">
        <x:v>97.1% returns</x:v>
      </x:c>
      <x:c r="C16" s="21" t="str">
        <x:v>100% final disposition</x:v>
      </x:c>
      <x:c r="D16" s="21" t="str">
        <x:v>Watch</x:v>
      </x:c>
      <x:c r="E16" s="21" t="str">
        <x:v>Asset Lead</x:v>
      </x:c>
      <x:c r="F16" s="21" t="str">
        <x:v>Recover/quarantine open assets</x:v>
      </x:c>
      <x:c r="G16" s="21" t="str">
        <x:v>Sanitization</x:v>
      </x:c>
      <x:c r="H16" s="22" t="str">
        <x:v>Scenario</x:v>
      </x:c>
    </x:row>
  </x:sheetData>
  <x:mergeCells>
    <x:mergeCell ref="A1:L1"/>
    <x:mergeCell ref="A2:L2"/>
    <x:mergeCell ref="A10:H10"/>
  </x:mergeCells>
  <x:pageMargins left="0.7" right="0.7" top="0.75" bottom="0.75" header="0.3" footer="0.3"/>
  <x:drawing xmlns:r="http://schemas.openxmlformats.org/officeDocument/2006/relationships" r:id="R00515897f80140b4"/>
  <x:tableParts count="1">
    <x:tablePart xmlns:r="http://schemas.openxmlformats.org/officeDocument/2006/relationships" r:id="R097816f708fc480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7" hidden="0" customWidth="1"/>
    <x:col min="5" max="5" width="19" hidden="0" customWidth="1"/>
    <x:col min="6" max="6" width="27" hidden="0" customWidth="1"/>
    <x:col min="7" max="7" width="22" hidden="0" customWidth="1"/>
    <x:col min="8" max="8" width="15" hidden="0" customWidth="1"/>
    <x:col min="10" max="10" width="16" hidden="0" customWidth="1"/>
    <x:col min="11" max="11" width="16" hidden="0" customWidth="1"/>
  </x:cols>
  <x:sheetData>
    <x:row r="1" ht="30" customHeight="1">
      <x:c r="A1" s="3" t="str">
        <x:v>Hardware Refresh — Hybrid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1" t="str">
        <x:v>INTEGRATED</x:v>
      </x:c>
      <x:c r="B4" s="31" t="str">
        <x:v>VALUE</x:v>
      </x:c>
      <x:c r="D4" s="31" t="str">
        <x:v>CONTROL</x:v>
      </x:c>
      <x:c r="E4" s="31" t="str">
        <x:v>VALUE</x:v>
      </x:c>
      <x:c r="J4" t="str">
        <x:v>Wave</x:v>
      </x:c>
      <x:c r="K4" t="str">
        <x:v>Deployed</x:v>
      </x:c>
    </x:row>
    <x:row r="5">
      <x:c r="A5" s="33" t="str">
        <x:v>Deployed</x:v>
      </x:c>
      <x:c r="B5" s="37" t="n">
        <x:f>'Deployment Waves'!C10</x:f>
        <x:v>344</x:v>
      </x:c>
      <x:c r="D5" s="33" t="str">
        <x:v>Returns</x:v>
      </x:c>
      <x:c r="E5" s="50" t="n">
        <x:f>'Deployment Waves'!G10/'Deployment Waves'!C10</x:f>
        <x:v>0.9709302325581395</x:v>
      </x:c>
      <x:c r="J5" t="str">
        <x:v>Pilot</x:v>
      </x:c>
      <x:c r="K5" t="n">
        <x:f>'Deployment Waves'!C5</x:f>
        <x:v>20</x:v>
      </x:c>
    </x:row>
    <x:row r="6">
      <x:c r="A6" s="35" t="str">
        <x:v>FTR</x:v>
      </x:c>
      <x:c r="B6" s="40" t="n">
        <x:f>'Deployment Waves'!D10/'Deployment Waves'!C10</x:f>
        <x:v>0.9767441860465116</x:v>
      </x:c>
      <x:c r="D6" s="35" t="str">
        <x:v>Exceptions</x:v>
      </x:c>
      <x:c r="E6" s="38" t="n">
        <x:f>'Deployment Waves'!H10</x:f>
        <x:v>16</x:v>
      </x:c>
      <x:c r="J6" t="str">
        <x:v>Site A</x:v>
      </x:c>
      <x:c r="K6" t="n">
        <x:f>'Deployment Waves'!C6</x:f>
        <x:v>94</x:v>
      </x:c>
    </x:row>
    <x:row r="7">
      <x:c r="A7" s="35" t="str">
        <x:v>Data pass</x:v>
      </x:c>
      <x:c r="B7" s="40" t="n">
        <x:f>'Deployment Waves'!E10/'Deployment Waves'!C10</x:f>
        <x:v>0.9941860465116279</x:v>
      </x:c>
      <x:c r="D7" s="35" t="str">
        <x:v>Forecast</x:v>
      </x:c>
      <x:c r="E7" s="53" t="n">
        <x:f>SUM(Budget!C5:C10)</x:f>
        <x:v>748400</x:v>
      </x:c>
      <x:c r="J7" t="str">
        <x:v>Site B</x:v>
      </x:c>
      <x:c r="K7" t="n">
        <x:f>'Deployment Waves'!C7</x:f>
        <x:v>87</x:v>
      </x:c>
    </x:row>
    <x:row r="8">
      <x:c r="A8" s="35" t="str">
        <x:v>Compliance</x:v>
      </x:c>
      <x:c r="B8" s="40" t="n">
        <x:f>'Deployment Waves'!F10/'Deployment Waves'!C10</x:f>
        <x:v>0.9854651162790697</x:v>
      </x:c>
      <x:c r="D8" s="35" t="str">
        <x:v>VAC</x:v>
      </x:c>
      <x:c r="E8" s="53" t="n">
        <x:f>SUM(Budget!F5:F10)</x:f>
        <x:v>43600</x:v>
      </x:c>
      <x:c r="J8" t="str">
        <x:v>Site C</x:v>
      </x:c>
      <x:c r="K8" t="n">
        <x:f>'Deployment Waves'!C8</x:f>
        <x:v>71</x:v>
      </x:c>
    </x:row>
    <x:row r="9">
      <x:c r="J9" t="str">
        <x:v>Remote</x:v>
      </x:c>
      <x:c r="K9" t="n">
        <x:f>'Deployment Waves'!C9</x:f>
        <x:v>72</x:v>
      </x:c>
    </x:row>
    <x:row r="10" ht="34" customHeight="1">
      <x:c r="A10" s="43" t="str">
        <x:v>Recommended: fixed budget/security/site gates plus pull-based staging, rolling-wave deployment, and a dedicated exception lane.</x:v>
      </x:c>
      <x:c r="B10" s="43"/>
      <x:c r="C10" s="43"/>
      <x:c r="D10" s="43"/>
      <x:c r="E10" s="43"/>
      <x:c r="F10" s="43"/>
      <x:c r="G10" s="43"/>
      <x:c r="H10" s="43"/>
    </x:row>
    <x:row r="12">
      <x:c r="A12" s="47" t="str">
        <x:v>Dimension</x:v>
      </x:c>
      <x:c r="B12" s="48" t="str">
        <x:v>Current evidence</x:v>
      </x:c>
      <x:c r="C12" s="48" t="str">
        <x:v>Threshold</x:v>
      </x:c>
      <x:c r="D12" s="48" t="str">
        <x:v>State</x:v>
      </x:c>
      <x:c r="E12" s="48" t="str">
        <x:v>Owner</x:v>
      </x:c>
      <x:c r="F12" s="48" t="str">
        <x:v>Decision / action</x:v>
      </x:c>
      <x:c r="G12" s="48" t="str">
        <x:v>Source</x:v>
      </x:c>
      <x:c r="H12" s="49" t="str">
        <x:v>Confidence</x:v>
      </x:c>
    </x:row>
    <x:row r="13">
      <x:c r="A13" s="20" t="str">
        <x:v>User outcome</x:v>
      </x:c>
      <x:c r="B13" s="21" t="str">
        <x:v>344/360 deployed</x:v>
      </x:c>
      <x:c r="C13" s="21" t="str">
        <x:v>360 final dispositions</x:v>
      </x:c>
      <x:c r="D13" s="21" t="str">
        <x:v>Conditional</x:v>
      </x:c>
      <x:c r="E13" s="21" t="str">
        <x:v>Wave Lead</x:v>
      </x:c>
      <x:c r="F13" s="21" t="str">
        <x:v>Own every remaining exception</x:v>
      </x:c>
      <x:c r="G13" s="21" t="str">
        <x:v>Deployment Waves</x:v>
      </x:c>
      <x:c r="H13" s="22" t="str">
        <x:v>Scenario</x:v>
      </x:c>
    </x:row>
    <x:row r="14">
      <x:c r="A14" s="20" t="str">
        <x:v>Quality</x:v>
      </x:c>
      <x:c r="B14" s="21" t="str">
        <x:v>97.7% FTR</x:v>
      </x:c>
      <x:c r="C14" s="21" t="str">
        <x:v>&gt;=97%</x:v>
      </x:c>
      <x:c r="D14" s="21" t="str">
        <x:v>Pass</x:v>
      </x:c>
      <x:c r="E14" s="21" t="str">
        <x:v>Quality Lead</x:v>
      </x:c>
      <x:c r="F14" s="21" t="str">
        <x:v>Correct recurring defects</x:v>
      </x:c>
      <x:c r="G14" s="21" t="str">
        <x:v>Deployment Waves</x:v>
      </x:c>
      <x:c r="H14" s="22" t="str">
        <x:v>Scenario</x:v>
      </x:c>
    </x:row>
    <x:row r="15">
      <x:c r="A15" s="20" t="str">
        <x:v>Security/data</x:v>
      </x:c>
      <x:c r="B15" s="21" t="str">
        <x:v>98.5% / 99.4%</x:v>
      </x:c>
      <x:c r="C15" s="21" t="str">
        <x:v>&gt;=98% / 99%</x:v>
      </x:c>
      <x:c r="D15" s="21" t="str">
        <x:v>Pass</x:v>
      </x:c>
      <x:c r="E15" s="21" t="str">
        <x:v>Security/Data</x:v>
      </x:c>
      <x:c r="F15" s="21" t="str">
        <x:v>Close five compliance and two data exceptions</x:v>
      </x:c>
      <x:c r="G15" s="21" t="str">
        <x:v>Deployment Waves</x:v>
      </x:c>
      <x:c r="H15" s="22" t="str">
        <x:v>Scenario</x:v>
      </x:c>
    </x:row>
    <x:row r="16">
      <x:c r="A16" s="20" t="str">
        <x:v>Asset</x:v>
      </x:c>
      <x:c r="B16" s="21" t="str">
        <x:v>97.1% returns</x:v>
      </x:c>
      <x:c r="C16" s="21" t="str">
        <x:v>100% final disposition</x:v>
      </x:c>
      <x:c r="D16" s="21" t="str">
        <x:v>Watch</x:v>
      </x:c>
      <x:c r="E16" s="21" t="str">
        <x:v>Asset Lead</x:v>
      </x:c>
      <x:c r="F16" s="21" t="str">
        <x:v>Recover/quarantine open assets</x:v>
      </x:c>
      <x:c r="G16" s="21" t="str">
        <x:v>Sanitization</x:v>
      </x:c>
      <x:c r="H16" s="22" t="str">
        <x:v>Scenario</x:v>
      </x:c>
    </x:row>
  </x:sheetData>
  <x:mergeCells>
    <x:mergeCell ref="A1:L1"/>
    <x:mergeCell ref="A2:L2"/>
    <x:mergeCell ref="A10:H10"/>
  </x:mergeCells>
  <x:pageMargins left="0.7" right="0.7" top="0.75" bottom="0.75" header="0.3" footer="0.3"/>
  <x:drawing xmlns:r="http://schemas.openxmlformats.org/officeDocument/2006/relationships" r:id="R83162b72d0d74446"/>
  <x:tableParts count="1">
    <x:tablePart xmlns:r="http://schemas.openxmlformats.org/officeDocument/2006/relationships" r:id="R40c506966b03461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22" hidden="0" customWidth="1"/>
    <x:col min="4" max="4" width="17" hidden="0" customWidth="1"/>
    <x:col min="5" max="5" width="19" hidden="0" customWidth="1"/>
    <x:col min="6" max="6" width="27" hidden="0" customWidth="1"/>
    <x:col min="7" max="7" width="22" hidden="0" customWidth="1"/>
    <x:col min="8" max="8" width="15" hidden="0" customWidth="1"/>
    <x:col min="10" max="10" width="16" hidden="0" customWidth="1"/>
    <x:col min="11" max="11" width="16" hidden="0" customWidth="1"/>
  </x:cols>
  <x:sheetData>
    <x:row r="1" ht="30" customHeight="1">
      <x:c r="A1" s="3" t="str">
        <x:v>Hardware Refresh — Portfolio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6" t="str">
        <x:v>Experience-informed fictional Company ABC/XYZ case. Scenario quantities, dates, costs, and results are assumptions; replace with approved source records before use.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31" t="str">
        <x:v>OUTCOME</x:v>
      </x:c>
      <x:c r="B4" s="31" t="str">
        <x:v>VALUE</x:v>
      </x:c>
      <x:c r="D4" s="31" t="str">
        <x:v>CONTROL</x:v>
      </x:c>
      <x:c r="E4" s="31" t="str">
        <x:v>VALUE</x:v>
      </x:c>
      <x:c r="J4" t="str">
        <x:v>Account</x:v>
      </x:c>
      <x:c r="K4" t="str">
        <x:v>Forecast</x:v>
      </x:c>
    </x:row>
    <x:row r="5">
      <x:c r="A5" s="33" t="str">
        <x:v>Planned</x:v>
      </x:c>
      <x:c r="B5" s="37" t="n">
        <x:f>'Deployment Waves'!B10</x:f>
        <x:v>360</x:v>
      </x:c>
      <x:c r="D5" s="33" t="str">
        <x:v>24h compliant</x:v>
      </x:c>
      <x:c r="E5" s="50" t="n">
        <x:f>'Deployment Waves'!F10/'Deployment Waves'!C10</x:f>
        <x:v>0.9854651162790697</x:v>
      </x:c>
      <x:c r="J5" t="str">
        <x:v>Devices</x:v>
      </x:c>
      <x:c r="K5" t="n">
        <x:f>Budget!C5</x:f>
        <x:v>451000</x:v>
      </x:c>
    </x:row>
    <x:row r="6">
      <x:c r="A6" s="35" t="str">
        <x:v>Deployed</x:v>
      </x:c>
      <x:c r="B6" s="38" t="n">
        <x:f>'Deployment Waves'!C10</x:f>
        <x:v>344</x:v>
      </x:c>
      <x:c r="D6" s="35" t="str">
        <x:v>Returns</x:v>
      </x:c>
      <x:c r="E6" s="40" t="n">
        <x:f>'Deployment Waves'!G10/'Deployment Waves'!C10</x:f>
        <x:v>0.9709302325581395</x:v>
      </x:c>
      <x:c r="J6" t="str">
        <x:v>Logistics</x:v>
      </x:c>
      <x:c r="K6" t="n">
        <x:f>Budget!C6</x:f>
        <x:v>69000</x:v>
      </x:c>
    </x:row>
    <x:row r="7">
      <x:c r="A7" s="35" t="str">
        <x:v>FTR</x:v>
      </x:c>
      <x:c r="B7" s="40" t="n">
        <x:f>'Deployment Waves'!D10/'Deployment Waves'!C10</x:f>
        <x:v>0.9767441860465116</x:v>
      </x:c>
      <x:c r="D7" s="35" t="str">
        <x:v>Forecast</x:v>
      </x:c>
      <x:c r="E7" s="53" t="n">
        <x:f>SUM(Budget!C5:C10)</x:f>
        <x:v>748400</x:v>
      </x:c>
      <x:c r="J7" t="str">
        <x:v>Labor</x:v>
      </x:c>
      <x:c r="K7" t="n">
        <x:f>Budget!C7</x:f>
        <x:v>121400</x:v>
      </x:c>
    </x:row>
    <x:row r="8">
      <x:c r="A8" s="35" t="str">
        <x:v>Data validated</x:v>
      </x:c>
      <x:c r="B8" s="40" t="n">
        <x:f>'Deployment Waves'!E10/'Deployment Waves'!C10</x:f>
        <x:v>0.9941860465116279</x:v>
      </x:c>
      <x:c r="D8" s="35" t="str">
        <x:v>Variance</x:v>
      </x:c>
      <x:c r="E8" s="53" t="n">
        <x:f>SUM(Budget!F5:F10)</x:f>
        <x:v>43600</x:v>
      </x:c>
      <x:c r="J8" t="str">
        <x:v>Support</x:v>
      </x:c>
      <x:c r="K8" t="n">
        <x:f>Budget!C8</x:f>
        <x:v>55000</x:v>
      </x:c>
    </x:row>
    <x:row r="9">
      <x:c r="J9" t="str">
        <x:v>Retirement</x:v>
      </x:c>
      <x:c r="K9" t="n">
        <x:f>Budget!C9</x:f>
        <x:v>34000</x:v>
      </x:c>
    </x:row>
    <x:row r="10" ht="34" customHeight="1">
      <x:c r="A10" s="43" t="str">
        <x:v>Portfolio decision: Hybrid is the modeled best fit; close only after 360/360 new and old asset dispositions reconcile.</x:v>
      </x:c>
      <x:c r="B10" s="43"/>
      <x:c r="C10" s="43"/>
      <x:c r="D10" s="43"/>
      <x:c r="E10" s="43"/>
      <x:c r="F10" s="43"/>
      <x:c r="G10" s="43"/>
      <x:c r="H10" s="43"/>
    </x:row>
    <x:row r="12">
      <x:c r="A12" s="47" t="str">
        <x:v>Dimension</x:v>
      </x:c>
      <x:c r="B12" s="48" t="str">
        <x:v>Current evidence</x:v>
      </x:c>
      <x:c r="C12" s="48" t="str">
        <x:v>Threshold</x:v>
      </x:c>
      <x:c r="D12" s="48" t="str">
        <x:v>State</x:v>
      </x:c>
      <x:c r="E12" s="48" t="str">
        <x:v>Owner</x:v>
      </x:c>
      <x:c r="F12" s="48" t="str">
        <x:v>Decision / action</x:v>
      </x:c>
      <x:c r="G12" s="48" t="str">
        <x:v>Source</x:v>
      </x:c>
      <x:c r="H12" s="49" t="str">
        <x:v>Confidence</x:v>
      </x:c>
    </x:row>
    <x:row r="13">
      <x:c r="A13" s="20" t="str">
        <x:v>Scope</x:v>
      </x:c>
      <x:c r="B13" s="21" t="str">
        <x:v>344/360 deployed</x:v>
      </x:c>
      <x:c r="C13" s="21" t="str">
        <x:v>360 final dispositions</x:v>
      </x:c>
      <x:c r="D13" s="21" t="str">
        <x:v>Conditional</x:v>
      </x:c>
      <x:c r="E13" s="21" t="str">
        <x:v>Program Lead</x:v>
      </x:c>
      <x:c r="F13" s="21" t="str">
        <x:v>Close 16 exceptions</x:v>
      </x:c>
      <x:c r="G13" s="21" t="str">
        <x:v>Deployment Waves</x:v>
      </x:c>
      <x:c r="H13" s="22" t="str">
        <x:v>Scenario</x:v>
      </x:c>
    </x:row>
    <x:row r="14">
      <x:c r="A14" s="20" t="str">
        <x:v>Quality</x:v>
      </x:c>
      <x:c r="B14" s="21" t="str">
        <x:v>97.7% FTR</x:v>
      </x:c>
      <x:c r="C14" s="21" t="str">
        <x:v>&gt;=97%</x:v>
      </x:c>
      <x:c r="D14" s="21" t="str">
        <x:v>Pass</x:v>
      </x:c>
      <x:c r="E14" s="21" t="str">
        <x:v>Quality Lead</x:v>
      </x:c>
      <x:c r="F14" s="21" t="str">
        <x:v>Monitor repeat defects</x:v>
      </x:c>
      <x:c r="G14" s="21" t="str">
        <x:v>Deployment Waves</x:v>
      </x:c>
      <x:c r="H14" s="22" t="str">
        <x:v>Scenario</x:v>
      </x:c>
    </x:row>
    <x:row r="15">
      <x:c r="A15" s="20" t="str">
        <x:v>Security/data</x:v>
      </x:c>
      <x:c r="B15" s="21" t="str">
        <x:v>Pass with owned gaps</x:v>
      </x:c>
      <x:c r="C15" s="21" t="str">
        <x:v>No unowned gap</x:v>
      </x:c>
      <x:c r="D15" s="21" t="str">
        <x:v>Conditional</x:v>
      </x:c>
      <x:c r="E15" s="21" t="str">
        <x:v>Security/Data</x:v>
      </x:c>
      <x:c r="F15" s="21" t="str">
        <x:v>Close remediation evidence</x:v>
      </x:c>
      <x:c r="G15" s="21" t="str">
        <x:v>Data Validation</x:v>
      </x:c>
      <x:c r="H15" s="22" t="str">
        <x:v>Scenario</x:v>
      </x:c>
    </x:row>
    <x:row r="16">
      <x:c r="A16" s="20" t="str">
        <x:v>Finance</x:v>
      </x:c>
      <x:c r="B16" s="21" t="str">
        <x:v>$748.4K forecast</x:v>
      </x:c>
      <x:c r="C16" s="21" t="str">
        <x:v>Within $792K</x:v>
      </x:c>
      <x:c r="D16" s="21" t="str">
        <x:v>Favorable</x:v>
      </x:c>
      <x:c r="E16" s="21" t="str">
        <x:v>Finance Lead</x:v>
      </x:c>
      <x:c r="F16" s="21" t="str">
        <x:v>Reconcile credits/reserve</x:v>
      </x:c>
      <x:c r="G16" s="21" t="str">
        <x:v>Budget</x:v>
      </x:c>
      <x:c r="H16" s="22" t="str">
        <x:v>Scenario</x:v>
      </x:c>
    </x:row>
  </x:sheetData>
  <x:mergeCells>
    <x:mergeCell ref="A1:L1"/>
    <x:mergeCell ref="A2:L2"/>
    <x:mergeCell ref="A10:H10"/>
  </x:mergeCells>
  <x:pageMargins left="0.7" right="0.7" top="0.75" bottom="0.75" header="0.3" footer="0.3"/>
  <x:drawing xmlns:r="http://schemas.openxmlformats.org/officeDocument/2006/relationships" r:id="R57fd33ed176f45ff"/>
  <x:tableParts count="1">
    <x:tablePart xmlns:r="http://schemas.openxmlformats.org/officeDocument/2006/relationships" r:id="R1bf8d770ca084f4c"/>
  </x:tableParts>
</x:worksheet>
</file>