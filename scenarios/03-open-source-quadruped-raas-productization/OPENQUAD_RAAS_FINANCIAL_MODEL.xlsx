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202d492cc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1e26e976848b4f54"/>
    <x:sheet xmlns:r="http://schemas.openxmlformats.org/officeDocument/2006/relationships" name="Assumptions" sheetId="2" r:id="R5222583f533945d0"/>
    <x:sheet xmlns:r="http://schemas.openxmlformats.org/officeDocument/2006/relationships" name="Program_Budget" sheetId="3" r:id="R3e9086b67f214d3d"/>
    <x:sheet xmlns:r="http://schemas.openxmlformats.org/officeDocument/2006/relationships" name="Unit_Economics" sheetId="4" r:id="R64ee5c52734447fe"/>
    <x:sheet xmlns:r="http://schemas.openxmlformats.org/officeDocument/2006/relationships" name="Customer_Value" sheetId="5" r:id="R6d88d20224c14aa2"/>
    <x:sheet xmlns:r="http://schemas.openxmlformats.org/officeDocument/2006/relationships" name="Provider_Sensitivity" sheetId="6" r:id="R05e5ed525a334882"/>
    <x:sheet xmlns:r="http://schemas.openxmlformats.org/officeDocument/2006/relationships" name="Customer_Sensitivity" sheetId="7" r:id="R0ca520e5cc8847bb"/>
    <x:sheet xmlns:r="http://schemas.openxmlformats.org/officeDocument/2006/relationships" name="Sources" sheetId="8" r:id="R57f86d2027c64f3f"/>
    <x:sheet xmlns:r="http://schemas.openxmlformats.org/officeDocument/2006/relationships" name="Checks" sheetId="9" r:id="R391f8c0fb870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$#,##0.00"/>
    <x:numFmt numFmtId="202" formatCode="$#,##0"/>
    <x:numFmt numFmtId="203" formatCode="0.0%"/>
    <x:numFmt numFmtId="204" formatCode="$#,##0.00;[Red]-$#,##0.00"/>
    <x:numFmt numFmtId="205" formatCode="0"/>
    <x:numFmt numFmtId="206" formatCode="0.00x"/>
    <x:numFmt numFmtId="207" formatCode="$#,##0;[Red]-$#,##0"/>
    <x:numFmt numFmtId="208" formatCode="0.000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9"/>
      <x:color rgb="FF5B6670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9"/>
      <x:color rgb="FF0B2545"/>
      <x:name val="Carlito"/>
    </x:font>
    <x:font>
      <x:b/>
      <x:sz val="9"/>
      <x:color rgb="FF087F6B"/>
      <x:name val="Carlito"/>
    </x:font>
    <x:font>
      <x:b/>
      <x:sz val="9"/>
      <x:color rgb="FF7A5A00"/>
      <x:name val="Carlito"/>
    </x:font>
    <x:font>
      <x:b/>
      <x:sz val="9"/>
      <x:color rgb="FF9B1C1C"/>
      <x:name val="Carlito"/>
    </x:font>
    <x:font>
      <x:b/>
      <x:sz val="11"/>
      <x:color rgb="FF7A5A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DDF4F0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E6F4EA"/>
      </x:patternFill>
    </x:fill>
    <x:fill>
      <x:patternFill patternType="solid">
        <x:fgColor rgb="FFFFF0CE"/>
      </x:patternFill>
    </x:fill>
    <x:fill>
      <x:patternFill patternType="solid">
        <x:fgColor rgb="FFFCE8E6"/>
      </x:patternFill>
    </x:fill>
  </x:fills>
  <x:borders count="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4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204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205" fontId="4" fillId="0" borderId="5" xfId="0" applyNumberFormat="1" applyFont="1" applyFill="1" applyBorder="1" applyAlignment="1">
      <x:alignment vertical="top" wrapText="1"/>
    </x:xf>
    <x:xf numFmtId="205" fontId="4" fillId="5" borderId="5" xfId="0" applyNumberFormat="1" applyFont="1" applyFill="1" applyBorder="1" applyAlignment="1">
      <x:alignment vertical="top" wrapText="1"/>
    </x:xf>
    <x:xf numFmtId="205" fontId="5" fillId="5" borderId="5" xfId="0" applyNumberFormat="1" applyFont="1" applyFill="1" applyBorder="1" applyAlignment="1">
      <x:alignment vertical="top" wrapText="1"/>
    </x:xf>
    <x:xf numFmtId="203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203" fontId="5" fillId="5" borderId="5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201" fontId="5" fillId="5" borderId="5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6" fontId="4" fillId="0" borderId="2" xfId="0" applyNumberFormat="1" applyFont="1" applyFill="1" applyBorder="1" applyAlignment="1">
      <x:alignment vertical="top" wrapText="1"/>
    </x:xf>
    <x:xf numFmtId="206" fontId="4" fillId="0" borderId="5" xfId="0" applyNumberFormat="1" applyFont="1" applyFill="1" applyBorder="1" applyAlignment="1">
      <x:alignment vertical="top" wrapText="1"/>
    </x:xf>
    <x:xf numFmtId="205" fontId="4" fillId="0" borderId="2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5" fontId="4" fillId="0" borderId="4" xfId="0" applyNumberFormat="1" applyFont="1" applyFill="1" applyBorder="1" applyAlignment="1">
      <x:alignment vertical="top" wrapText="1"/>
    </x:xf>
    <x:xf numFmtId="207" fontId="4" fillId="0" borderId="2" xfId="0" applyNumberFormat="1" applyFont="1" applyFill="1" applyBorder="1" applyAlignment="1">
      <x:alignment vertical="top" wrapText="1"/>
    </x:xf>
    <x:xf numFmtId="207" fontId="4" fillId="0" borderId="5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208" fontId="4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e9daeba774b25" /><Relationship Type="http://schemas.openxmlformats.org/officeDocument/2006/relationships/theme" Target="/xl/theme/theme1.xml" Id="R95d242ed8fb04eda" /><Relationship Type="http://schemas.openxmlformats.org/officeDocument/2006/relationships/sharedStrings" Target="/xl/sharedStrings.xml" Id="R5908336548f54448" /><Relationship Type="http://schemas.openxmlformats.org/officeDocument/2006/relationships/worksheet" Target="/xl/worksheets/sheet1.xml" Id="R1e26e976848b4f54" /><Relationship Type="http://schemas.openxmlformats.org/officeDocument/2006/relationships/worksheet" Target="/xl/worksheets/sheet2.xml" Id="R5222583f533945d0" /><Relationship Type="http://schemas.openxmlformats.org/officeDocument/2006/relationships/worksheet" Target="/xl/worksheets/sheet3.xml" Id="R3e9086b67f214d3d" /><Relationship Type="http://schemas.openxmlformats.org/officeDocument/2006/relationships/worksheet" Target="/xl/worksheets/sheet4.xml" Id="R64ee5c52734447fe" /><Relationship Type="http://schemas.openxmlformats.org/officeDocument/2006/relationships/worksheet" Target="/xl/worksheets/sheet5.xml" Id="R6d88d20224c14aa2" /><Relationship Type="http://schemas.openxmlformats.org/officeDocument/2006/relationships/worksheet" Target="/xl/worksheets/sheet6.xml" Id="R05e5ed525a334882" /><Relationship Type="http://schemas.openxmlformats.org/officeDocument/2006/relationships/worksheet" Target="/xl/worksheets/sheet7.xml" Id="R0ca520e5cc8847bb" /><Relationship Type="http://schemas.openxmlformats.org/officeDocument/2006/relationships/worksheet" Target="/xl/worksheets/sheet8.xml" Id="R57f86d2027c64f3f" /><Relationship Type="http://schemas.openxmlformats.org/officeDocument/2006/relationships/worksheet" Target="/xl/worksheets/sheet9.xml" Id="R391f8c0fb8704e2f" /></Relationships>
</file>

<file path=xl/tables/table1.xml><?xml version="1.0" encoding="utf-8"?>
<x:table xmlns:x="http://schemas.openxmlformats.org/spreadsheetml/2006/main" id="9" name="Case03Executive" displayName="Case03Executive" ref="A4:E12" headerRowCount="1" totalsRowCount="0" totalsRowShown="0">
  <x:tableColumns count="5">
    <x:tableColumn id="1" name="Metric"/>
    <x:tableColumn id="2" name="Value"/>
    <x:tableColumn id="3" name="Evidence"/>
    <x:tableColumn id="4" name="Confidence"/>
    <x:tableColumn id="5" name="Plain-English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se03Assumptions" displayName="Case03Assumptions" ref="A4:G35" headerRowCount="1" totalsRowCount="0" totalsRowShown="0">
  <x:tableColumns count="7">
    <x:tableColumn id="1" name="ID"/>
    <x:tableColumn id="2" name="Input"/>
    <x:tableColumn id="3" name="Value"/>
    <x:tableColumn id="4" name="Unit"/>
    <x:tableColumn id="5" name="Evidence"/>
    <x:tableColumn id="6" name="Confidence"/>
    <x:tableColumn id="7" name="Source / valid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gramBudget" displayName="ProgramBudget" ref="A4:F16" headerRowCount="1" totalsRowCount="0" totalsRowShown="0">
  <x:tableColumns count="6">
    <x:tableColumn id="1" name="Cost category"/>
    <x:tableColumn id="2" name="Basis"/>
    <x:tableColumn id="3" name="Amount"/>
    <x:tableColumn id="4" name="Evidence"/>
    <x:tableColumn id="5" name="Confidence"/>
    <x:tableColumn id="6" name="Replacement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UnitEconomics" displayName="UnitEconomics" ref="A4:F22" headerRowCount="1" totalsRowCount="0" totalsRowShown="0">
  <x:tableColumns count="6">
    <x:tableColumn id="1" name="Item"/>
    <x:tableColumn id="2" name="Formula basis"/>
    <x:tableColumn id="3" name="Amount"/>
    <x:tableColumn id="4" name="Evidence"/>
    <x:tableColumn id="5" name="Confidence"/>
    <x:tableColumn id="6" name="Replacement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ustomerValue" displayName="CustomerValue" ref="A4:F13" headerRowCount="1" totalsRowCount="0" totalsRowShown="0">
  <x:tableColumns count="6">
    <x:tableColumn id="1" name="Item"/>
    <x:tableColumn id="2" name="Formula basis"/>
    <x:tableColumn id="3" name="Amount"/>
    <x:tableColumn id="4" name="Evidence"/>
    <x:tableColumn id="5" name="Confidence"/>
    <x:tableColumn id="6" name="Decision 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roviderSensitivity" displayName="ProviderSensitivity" ref="A4:H9" headerRowCount="1" totalsRowCount="0" totalsRowShown="0">
  <x:tableColumns count="8">
    <x:tableColumn id="1" name="Case"/>
    <x:tableColumn id="2" name="Monthly price"/>
    <x:tableColumn id="3" name="Build multiplier"/>
    <x:tableColumn id="4" name="Service multiplier"/>
    <x:tableColumn id="5" name="Direct 3-year cost"/>
    <x:tableColumn id="6" name="Contribution"/>
    <x:tableColumn id="7" name="Units to recover"/>
    <x:tableColumn id="8" name="Deci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CustomerSensitivity" displayName="CustomerSensitivity" ref="A4:F9" headerRowCount="1" totalsRowCount="0" totalsRowShown="0">
  <x:tableColumns count="6">
    <x:tableColumn id="1" name="Released hours/year"/>
    <x:tableColumn id="2" name="Salary value/hour"/>
    <x:tableColumn id="3" name="Three-year capacity value"/>
    <x:tableColumn id="4" name="Net value vs. TCO"/>
    <x:tableColumn id="5" name="ROI"/>
    <x:tableColumn id="6" name="15%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Case03Sources" displayName="Case03Sources" ref="A4:F11" headerRowCount="1" totalsRowCount="0" totalsRowShown="0">
  <x:tableColumns count="6">
    <x:tableColumn id="1" name="Source"/>
    <x:tableColumn id="2" name="URL"/>
    <x:tableColumn id="3" name="Dated fact used"/>
    <x:tableColumn id="4" name="Evidence"/>
    <x:tableColumn id="5" name="Confidence"/>
    <x:tableColumn id="6" name="Limi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Case03Checks" displayName="Case03Checks" ref="A4:E11" headerRowCount="1" totalsRowCount="0" totalsRowShown="0">
  <x:tableColumns count="5">
    <x:tableColumn id="1" name="Check"/>
    <x:tableColumn id="2" name="Calculated"/>
    <x:tableColumn id="3" name="Expected"/>
    <x:tableColumn id="4" name="Varian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09939e818b40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277839fd40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943f46569448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4c88957dec49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ad6f567c88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304d0ed3264b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f2c3b216dd47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75487a0763d49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a8854c5532948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6" hidden="0" customWidth="1"/>
    <x:col min="4" max="4" width="16" hidden="0" customWidth="1"/>
    <x:col min="5" max="5" width="68" hidden="0" customWidth="1"/>
  </x:cols>
  <x:sheetData>
    <x:row r="1" ht="30" customHeight="1">
      <x:c r="A1" s="3" t="str">
        <x:v>Table 1. OpenQuad RaaS decision economics — Formula-linked executive view</x:v>
      </x:c>
      <x:c r="B1" s="3"/>
      <x:c r="C1" s="3"/>
      <x:c r="D1" s="3"/>
      <x:c r="E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</x:row>
    <x:row r="4" ht="30" customHeight="1">
      <x:c r="A4" s="11" t="str">
        <x:v>Metric</x:v>
      </x:c>
      <x:c r="B4" s="11" t="str">
        <x:v>Value</x:v>
      </x:c>
      <x:c r="C4" s="11" t="str">
        <x:v>Evidence</x:v>
      </x:c>
      <x:c r="D4" s="11" t="str">
        <x:v>Confidence</x:v>
      </x:c>
      <x:c r="E4" s="11" t="str">
        <x:v>Plain-English meaning</x:v>
      </x:c>
    </x:row>
    <x:row r="5">
      <x:c r="A5" s="25" t="str">
        <x:v>Productization investment</x:v>
      </x:c>
      <x:c r="B5" s="33" t="n">
        <x:f>Program_Budget!C16</x:f>
        <x:v>2397233.619456366</x:v>
      </x:c>
      <x:c r="C5" s="26" t="str">
        <x:v>DC-L</x:v>
      </x:c>
      <x:c r="D5" s="26" t="str">
        <x:v>Low</x:v>
      </x:c>
      <x:c r="E5" s="27" t="str">
        <x:v>Seven FTE-years plus pilot units, external work, operating allowances, and 10% reserve</x:v>
      </x:c>
    </x:row>
    <x:row r="6">
      <x:c r="A6" s="28" t="str">
        <x:v>Monthly decision price per robot</x:v>
      </x:c>
      <x:c r="B6" s="34" t="n">
        <x:f>Unit_Economics!C16</x:f>
        <x:v>2400</x:v>
      </x:c>
      <x:c r="C6" s="29" t="str">
        <x:v>DC-L</x:v>
      </x:c>
      <x:c r="D6" s="29" t="str">
        <x:v>Low</x:v>
      </x:c>
      <x:c r="E6" s="30" t="str">
        <x:v>Rounded price needed to recover the program across the assumed 48-robot cohort</x:v>
      </x:c>
    </x:row>
    <x:row r="7">
      <x:c r="A7" s="28" t="str">
        <x:v>Provider recovery gate</x:v>
      </x:c>
      <x:c r="B7" s="47" t="n">
        <x:f>Unit_Economics!C20</x:f>
        <x:v>48</x:v>
      </x:c>
      <x:c r="C7" s="29" t="str">
        <x:v>DC-L</x:v>
      </x:c>
      <x:c r="D7" s="29" t="str">
        <x:v>Low</x:v>
      </x:c>
      <x:c r="E7" s="30" t="str">
        <x:v>Minimum subscribing robots at the modeled contribution</x:v>
      </x:c>
    </x:row>
    <x:row r="8">
      <x:c r="A8" s="28" t="str">
        <x:v>Two-robot customer three-year TCO</x:v>
      </x:c>
      <x:c r="B8" s="34" t="n">
        <x:f>Customer_Value!C8</x:f>
        <x:v>184800</x:v>
      </x:c>
      <x:c r="C8" s="29" t="str">
        <x:v>DC-L</x:v>
      </x:c>
      <x:c r="D8" s="29" t="str">
        <x:v>Low</x:v>
      </x:c>
      <x:c r="E8" s="30" t="str">
        <x:v>Onboarding, subscription, and network allowance</x:v>
      </x:c>
    </x:row>
    <x:row r="9">
      <x:c r="A9" s="28" t="str">
        <x:v>Three-year customer capacity value</x:v>
      </x:c>
      <x:c r="B9" s="34" t="n">
        <x:f>Customer_Value!C9</x:f>
        <x:v>222000</x:v>
      </x:c>
      <x:c r="C9" s="29" t="str">
        <x:v>DC-L</x:v>
      </x:c>
      <x:c r="D9" s="29" t="str">
        <x:v>Low</x:v>
      </x:c>
      <x:c r="E9" s="30" t="str">
        <x:v>1,000 released hours/year valued at Glassdoor's $74/hour salary benchmark</x:v>
      </x:c>
    </x:row>
    <x:row r="10">
      <x:c r="A10" s="28" t="str">
        <x:v>Customer net capacity value</x:v>
      </x:c>
      <x:c r="B10" s="34" t="n">
        <x:f>Customer_Value!C10</x:f>
        <x:v>37200</x:v>
      </x:c>
      <x:c r="C10" s="29" t="str">
        <x:v>DC-L</x:v>
      </x:c>
      <x:c r="D10" s="29" t="str">
        <x:v>Low</x:v>
      </x:c>
      <x:c r="E10" s="30" t="str">
        <x:v>Capacity value less TCO; not automatic cash savings</x:v>
      </x:c>
    </x:row>
    <x:row r="11">
      <x:c r="A11" s="28" t="str">
        <x:v>Customer ROI</x:v>
      </x:c>
      <x:c r="B11" s="36" t="n">
        <x:f>Customer_Value!C11</x:f>
        <x:v>0.2012987012987013</x:v>
      </x:c>
      <x:c r="C11" s="29" t="str">
        <x:v>DC-L</x:v>
      </x:c>
      <x:c r="D11" s="29" t="str">
        <x:v>Low</x:v>
      </x:c>
      <x:c r="E11" s="30" t="str">
        <x:v>Passes the fictional 15% gate only at the base utilization</x:v>
      </x:c>
    </x:row>
    <x:row r="12">
      <x:c r="A12" s="28" t="str">
        <x:v>Break-even released hours/year</x:v>
      </x:c>
      <x:c r="B12" s="32" t="n">
        <x:f>Customer_Value!C12</x:f>
        <x:v>832.4324324324324</x:v>
      </x:c>
      <x:c r="C12" s="29" t="str">
        <x:v>DC-L</x:v>
      </x:c>
      <x:c r="D12" s="29" t="str">
        <x:v>Low</x:v>
      </x:c>
      <x:c r="E12" s="30" t="str">
        <x:v>Round up to 833 hours; below this, modeled net value is negative</x:v>
      </x:c>
    </x:row>
    <x:row r="14" ht="48" customHeight="1">
      <x:c r="A14" s="77" t="str">
        <x:v>Decision rule: proceed only when 48 signed units at or above $2,384.57/month, customer time studies, audited costs, supported supply, and independent compliance evidence all close. Glassdoor salary is a planning benchmark—not a customer actual.</x:v>
      </x:c>
      <x:c r="B14" s="77"/>
      <x:c r="C14" s="77"/>
      <x:c r="D14" s="77"/>
      <x:c r="E14" s="77"/>
    </x:row>
  </x:sheetData>
  <x:mergeCells>
    <x:mergeCell ref="A1:E1"/>
    <x:mergeCell ref="A2:E2"/>
    <x:mergeCell ref="A14:E14"/>
  </x:mergeCells>
  <x:pageMargins left="0.7" right="0.7" top="0.75" bottom="0.75" header="0.3" footer="0.3"/>
  <x:tableParts count="1">
    <x:tablePart xmlns:r="http://schemas.openxmlformats.org/officeDocument/2006/relationships" r:id="Rf709939e818b40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30" customHeight="1">
      <x:c r="A1" s="3" t="str">
        <x:v>Table 1. Case 03 financial assumptions and evidence — Confidence shown by row</x:v>
      </x:c>
      <x:c r="B1" s="3"/>
      <x:c r="C1" s="3"/>
      <x:c r="D1" s="3"/>
      <x:c r="E1" s="3"/>
      <x:c r="F1" s="3"/>
      <x:c r="G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  <x:c r="G2" s="7"/>
    </x:row>
    <x:row r="4" ht="30" customHeight="1">
      <x:c r="A4" s="11" t="str">
        <x:v>ID</x:v>
      </x:c>
      <x:c r="B4" s="11" t="str">
        <x:v>Input</x:v>
      </x:c>
      <x:c r="C4" s="11" t="str">
        <x:v>Value</x:v>
      </x:c>
      <x:c r="D4" s="11" t="str">
        <x:v>Unit</x:v>
      </x:c>
      <x:c r="E4" s="11" t="str">
        <x:v>Evidence</x:v>
      </x:c>
      <x:c r="F4" s="11" t="str">
        <x:v>Confidence</x:v>
      </x:c>
      <x:c r="G4" s="11" t="str">
        <x:v>Source / validation</x:v>
      </x:c>
    </x:row>
    <x:row r="5">
      <x:c r="A5" s="25" t="str">
        <x:v>ASM-001</x:v>
      </x:c>
      <x:c r="B5" s="26" t="str">
        <x:v>Glassdoor U.S. Robotics Software Engineer annual salary</x:v>
      </x:c>
      <x:c r="C5" s="33" t="n">
        <x:v>154709</x:v>
      </x:c>
      <x:c r="D5" s="26" t="str">
        <x:v>USD/year</x:v>
      </x:c>
      <x:c r="E5" s="26" t="str">
        <x:v>PB-M</x:v>
      </x:c>
      <x:c r="F5" s="26" t="str">
        <x:v>Medium</x:v>
      </x:c>
      <x:c r="G5" s="27" t="str">
        <x:v>Glassdoor; May 2026; 435 salaries</x:v>
      </x:c>
    </x:row>
    <x:row r="6">
      <x:c r="A6" s="28" t="str">
        <x:v>ASM-002</x:v>
      </x:c>
      <x:c r="B6" s="29" t="str">
        <x:v>Glassdoor U.S. Robotics Software Engineer hourly salary</x:v>
      </x:c>
      <x:c r="C6" s="34" t="n">
        <x:v>74</x:v>
      </x:c>
      <x:c r="D6" s="29" t="str">
        <x:v>USD/hour</x:v>
      </x:c>
      <x:c r="E6" s="29" t="str">
        <x:v>PB-M</x:v>
      </x:c>
      <x:c r="F6" s="29" t="str">
        <x:v>Medium</x:v>
      </x:c>
      <x:c r="G6" s="30" t="str">
        <x:v>Glassdoor; May 2026; not fully loaded</x:v>
      </x:c>
    </x:row>
    <x:row r="7">
      <x:c r="A7" s="28" t="str">
        <x:v>ASM-003</x:v>
      </x:c>
      <x:c r="B7" s="29" t="str">
        <x:v>BLS private-industry wage share</x:v>
      </x:c>
      <x:c r="C7" s="36" t="n">
        <x:v>0.699</x:v>
      </x:c>
      <x:c r="D7" s="29" t="str">
        <x:v>share of compensation</x:v>
      </x:c>
      <x:c r="E7" s="29" t="str">
        <x:v>PB-H</x:v>
      </x:c>
      <x:c r="F7" s="29" t="str">
        <x:v>High</x:v>
      </x:c>
      <x:c r="G7" s="30" t="str">
        <x:v>BLS ECEC; March 2026</x:v>
      </x:c>
    </x:row>
    <x:row r="8">
      <x:c r="A8" s="28" t="str">
        <x:v>ASM-004</x:v>
      </x:c>
      <x:c r="B8" s="29" t="str">
        <x:v>BLS private-industry benefits share</x:v>
      </x:c>
      <x:c r="C8" s="36" t="n">
        <x:v>0.301</x:v>
      </x:c>
      <x:c r="D8" s="29" t="str">
        <x:v>share of compensation</x:v>
      </x:c>
      <x:c r="E8" s="29" t="str">
        <x:v>PB-H</x:v>
      </x:c>
      <x:c r="F8" s="29" t="str">
        <x:v>High</x:v>
      </x:c>
      <x:c r="G8" s="30" t="str">
        <x:v>BLS ECEC; March 2026</x:v>
      </x:c>
    </x:row>
    <x:row r="9">
      <x:c r="A9" s="28" t="str">
        <x:v>ASM-005</x:v>
      </x:c>
      <x:c r="B9" s="29" t="str">
        <x:v>Loaded annual planning labor cost</x:v>
      </x:c>
      <x:c r="C9" s="35" t="n">
        <x:f>C5/C7</x:f>
        <x:v>221329.04148783977</x:v>
      </x:c>
      <x:c r="D9" s="29" t="str">
        <x:v>USD/FTE-year</x:v>
      </x:c>
      <x:c r="E9" s="29" t="str">
        <x:v>DC-M</x:v>
      </x:c>
      <x:c r="F9" s="29" t="str">
        <x:v>Medium</x:v>
      </x:c>
      <x:c r="G9" s="30" t="str">
        <x:v>Annual salary / BLS wage share</x:v>
      </x:c>
    </x:row>
    <x:row r="10">
      <x:c r="A10" s="28" t="str">
        <x:v>ASM-006</x:v>
      </x:c>
      <x:c r="B10" s="29" t="str">
        <x:v>Productization staffing</x:v>
      </x:c>
      <x:c r="C10" s="32" t="n">
        <x:v>7</x:v>
      </x:c>
      <x:c r="D10" s="29" t="str">
        <x:v>FTE-years</x:v>
      </x:c>
      <x:c r="E10" s="29" t="str">
        <x:v>SA-L</x:v>
      </x:c>
      <x:c r="F10" s="29" t="str">
        <x:v>Low</x:v>
      </x:c>
      <x:c r="G10" s="30" t="str">
        <x:v>Replace with approved resource plan</x:v>
      </x:c>
    </x:row>
    <x:row r="11">
      <x:c r="A11" s="28" t="str">
        <x:v>ASM-007</x:v>
      </x:c>
      <x:c r="B11" s="29" t="str">
        <x:v>Unitree Go2 EDU list-price comparator</x:v>
      </x:c>
      <x:c r="C11" s="35" t="n">
        <x:v>15900</x:v>
      </x:c>
      <x:c r="D11" s="29" t="str">
        <x:v>USD/unit</x:v>
      </x:c>
      <x:c r="E11" s="29" t="str">
        <x:v>PB-M</x:v>
      </x:c>
      <x:c r="F11" s="29" t="str">
        <x:v>Medium</x:v>
      </x:c>
      <x:c r="G11" s="30" t="str">
        <x:v>Official Unitree store; different platform</x:v>
      </x:c>
    </x:row>
    <x:row r="12">
      <x:c r="A12" s="28" t="str">
        <x:v>ASM-008</x:v>
      </x:c>
      <x:c r="B12" s="29" t="str">
        <x:v>Configuration/calibration labor</x:v>
      </x:c>
      <x:c r="C12" s="32" t="n">
        <x:v>50</x:v>
      </x:c>
      <x:c r="D12" s="29" t="str">
        <x:v>hours/unit</x:v>
      </x:c>
      <x:c r="E12" s="29" t="str">
        <x:v>SA-L</x:v>
      </x:c>
      <x:c r="F12" s="29" t="str">
        <x:v>Low</x:v>
      </x:c>
      <x:c r="G12" s="30" t="str">
        <x:v>Replace with routing and time study</x:v>
      </x:c>
    </x:row>
    <x:row r="13">
      <x:c r="A13" s="28" t="str">
        <x:v>ASM-009</x:v>
      </x:c>
      <x:c r="B13" s="29" t="str">
        <x:v>Battery, e-stop, network, spares, delivery allowance</x:v>
      </x:c>
      <x:c r="C13" s="32" t="n">
        <x:v>4400</x:v>
      </x:c>
      <x:c r="D13" s="29" t="str">
        <x:v>USD/unit</x:v>
      </x:c>
      <x:c r="E13" s="29" t="str">
        <x:v>SA-L</x:v>
      </x:c>
      <x:c r="F13" s="29" t="str">
        <x:v>Low</x:v>
      </x:c>
      <x:c r="G13" s="30" t="str">
        <x:v>Replace with binding BOM and freight</x:v>
      </x:c>
    </x:row>
    <x:row r="14">
      <x:c r="A14" s="28" t="str">
        <x:v>ASM-010</x:v>
      </x:c>
      <x:c r="B14" s="29" t="str">
        <x:v>Direct service labor</x:v>
      </x:c>
      <x:c r="C14" s="32" t="n">
        <x:v>36</x:v>
      </x:c>
      <x:c r="D14" s="29" t="str">
        <x:v>hours/unit-year</x:v>
      </x:c>
      <x:c r="E14" s="29" t="str">
        <x:v>SA-L</x:v>
      </x:c>
      <x:c r="F14" s="29" t="str">
        <x:v>Low</x:v>
      </x:c>
      <x:c r="G14" s="30" t="str">
        <x:v>Replace with service-case history</x:v>
      </x:c>
    </x:row>
    <x:row r="15">
      <x:c r="A15" s="28" t="str">
        <x:v>ASM-011</x:v>
      </x:c>
      <x:c r="B15" s="29" t="str">
        <x:v>Cloud and telemetry</x:v>
      </x:c>
      <x:c r="C15" s="32" t="n">
        <x:v>600</x:v>
      </x:c>
      <x:c r="D15" s="29" t="str">
        <x:v>USD/unit-year</x:v>
      </x:c>
      <x:c r="E15" s="29" t="str">
        <x:v>SA-L</x:v>
      </x:c>
      <x:c r="F15" s="29" t="str">
        <x:v>Low</x:v>
      </x:c>
      <x:c r="G15" s="30" t="str">
        <x:v>Replace with cloud bills</x:v>
      </x:c>
    </x:row>
    <x:row r="16">
      <x:c r="A16" s="28" t="str">
        <x:v>ASM-012</x:v>
      </x:c>
      <x:c r="B16" s="29" t="str">
        <x:v>Spares/warranty reserve</x:v>
      </x:c>
      <x:c r="C16" s="36" t="n">
        <x:v>0.12</x:v>
      </x:c>
      <x:c r="D16" s="29" t="str">
        <x:v>share of build cost</x:v>
      </x:c>
      <x:c r="E16" s="29" t="str">
        <x:v>SA-L</x:v>
      </x:c>
      <x:c r="F16" s="29" t="str">
        <x:v>Low</x:v>
      </x:c>
      <x:c r="G16" s="30" t="str">
        <x:v>Replace with reliability and warranty actuals</x:v>
      </x:c>
    </x:row>
    <x:row r="17">
      <x:c r="A17" s="28" t="str">
        <x:v>ASM-013</x:v>
      </x:c>
      <x:c r="B17" s="29" t="str">
        <x:v>Onboarding labor</x:v>
      </x:c>
      <x:c r="C17" s="32" t="n">
        <x:v>40</x:v>
      </x:c>
      <x:c r="D17" s="29" t="str">
        <x:v>hours/site</x:v>
      </x:c>
      <x:c r="E17" s="29" t="str">
        <x:v>SA-L</x:v>
      </x:c>
      <x:c r="F17" s="29" t="str">
        <x:v>Low</x:v>
      </x:c>
      <x:c r="G17" s="30" t="str">
        <x:v>Replace with delivery time study</x:v>
      </x:c>
    </x:row>
    <x:row r="18">
      <x:c r="A18" s="28" t="str">
        <x:v>ASM-014</x:v>
      </x:c>
      <x:c r="B18" s="29" t="str">
        <x:v>Onboarding travel/materials</x:v>
      </x:c>
      <x:c r="C18" s="32" t="n">
        <x:v>1500</x:v>
      </x:c>
      <x:c r="D18" s="29" t="str">
        <x:v>USD/site</x:v>
      </x:c>
      <x:c r="E18" s="29" t="str">
        <x:v>SA-L</x:v>
      </x:c>
      <x:c r="F18" s="29" t="str">
        <x:v>Low</x:v>
      </x:c>
      <x:c r="G18" s="30" t="str">
        <x:v>Replace with actual travel and materials</x:v>
      </x:c>
    </x:row>
    <x:row r="19">
      <x:c r="A19" s="28" t="str">
        <x:v>ASM-015</x:v>
      </x:c>
      <x:c r="B19" s="29" t="str">
        <x:v>Onboarding customer price</x:v>
      </x:c>
      <x:c r="C19" s="32" t="n">
        <x:v>6000</x:v>
      </x:c>
      <x:c r="D19" s="29" t="str">
        <x:v>USD/site</x:v>
      </x:c>
      <x:c r="E19" s="29" t="str">
        <x:v>SA-L</x:v>
      </x:c>
      <x:c r="F19" s="29" t="str">
        <x:v>Low</x:v>
      </x:c>
      <x:c r="G19" s="30" t="str">
        <x:v>Replace with executed order</x:v>
      </x:c>
    </x:row>
    <x:row r="20">
      <x:c r="A20" s="28" t="str">
        <x:v>ASM-016</x:v>
      </x:c>
      <x:c r="B20" s="29" t="str">
        <x:v>Subscription term</x:v>
      </x:c>
      <x:c r="C20" s="32" t="n">
        <x:v>36</x:v>
      </x:c>
      <x:c r="D20" s="29" t="str">
        <x:v>months</x:v>
      </x:c>
      <x:c r="E20" s="29" t="str">
        <x:v>SA-L</x:v>
      </x:c>
      <x:c r="F20" s="29" t="str">
        <x:v>Low</x:v>
      </x:c>
      <x:c r="G20" s="30" t="str">
        <x:v>Replace with executed order</x:v>
      </x:c>
    </x:row>
    <x:row r="21">
      <x:c r="A21" s="28" t="str">
        <x:v>ASM-017</x:v>
      </x:c>
      <x:c r="B21" s="29" t="str">
        <x:v>Recovery cohort</x:v>
      </x:c>
      <x:c r="C21" s="32" t="n">
        <x:v>48</x:v>
      </x:c>
      <x:c r="D21" s="29" t="str">
        <x:v>robots</x:v>
      </x:c>
      <x:c r="E21" s="29" t="str">
        <x:v>SA-L</x:v>
      </x:c>
      <x:c r="F21" s="29" t="str">
        <x:v>Low</x:v>
      </x:c>
      <x:c r="G21" s="30" t="str">
        <x:v>Planning target, not forecast</x:v>
      </x:c>
    </x:row>
    <x:row r="22">
      <x:c r="A22" s="28" t="str">
        <x:v>ASM-018</x:v>
      </x:c>
      <x:c r="B22" s="29" t="str">
        <x:v>Customer lab size</x:v>
      </x:c>
      <x:c r="C22" s="32" t="n">
        <x:v>2</x:v>
      </x:c>
      <x:c r="D22" s="29" t="str">
        <x:v>robots/site</x:v>
      </x:c>
      <x:c r="E22" s="29" t="str">
        <x:v>SA-L</x:v>
      </x:c>
      <x:c r="F22" s="29" t="str">
        <x:v>Low</x:v>
      </x:c>
      <x:c r="G22" s="30" t="str">
        <x:v>Replace with customer configuration</x:v>
      </x:c>
    </x:row>
    <x:row r="23">
      <x:c r="A23" s="28" t="str">
        <x:v>ASM-019</x:v>
      </x:c>
      <x:c r="B23" s="29" t="str">
        <x:v>Released customer capacity</x:v>
      </x:c>
      <x:c r="C23" s="32" t="n">
        <x:v>1000</x:v>
      </x:c>
      <x:c r="D23" s="29" t="str">
        <x:v>hours/site-year</x:v>
      </x:c>
      <x:c r="E23" s="29" t="str">
        <x:v>SA-L</x:v>
      </x:c>
      <x:c r="F23" s="29" t="str">
        <x:v>Low</x:v>
      </x:c>
      <x:c r="G23" s="30" t="str">
        <x:v>Replace with time study</x:v>
      </x:c>
    </x:row>
    <x:row r="24">
      <x:c r="A24" s="28" t="str">
        <x:v>ASM-020</x:v>
      </x:c>
      <x:c r="B24" s="29" t="str">
        <x:v>Customer network allowance</x:v>
      </x:c>
      <x:c r="C24" s="32" t="n">
        <x:v>6000</x:v>
      </x:c>
      <x:c r="D24" s="29" t="str">
        <x:v>USD/site</x:v>
      </x:c>
      <x:c r="E24" s="29" t="str">
        <x:v>SA-L</x:v>
      </x:c>
      <x:c r="F24" s="29" t="str">
        <x:v>Low</x:v>
      </x:c>
      <x:c r="G24" s="30" t="str">
        <x:v>Replace with site quote</x:v>
      </x:c>
    </x:row>
    <x:row r="25">
      <x:c r="A25" s="28" t="str">
        <x:v>ASM-021</x:v>
      </x:c>
      <x:c r="B25" s="29" t="str">
        <x:v>Customer ROI gate</x:v>
      </x:c>
      <x:c r="C25" s="36" t="n">
        <x:v>0.15</x:v>
      </x:c>
      <x:c r="D25" s="29" t="str">
        <x:v>three-year ROI</x:v>
      </x:c>
      <x:c r="E25" s="29" t="str">
        <x:v>SA-L</x:v>
      </x:c>
      <x:c r="F25" s="29" t="str">
        <x:v>Low</x:v>
      </x:c>
      <x:c r="G25" s="30" t="str">
        <x:v>Replace with customer hurdle rate</x:v>
      </x:c>
    </x:row>
    <x:row r="26">
      <x:c r="A26" s="28" t="str">
        <x:v>ASM-022</x:v>
      </x:c>
      <x:c r="B26" s="29" t="str">
        <x:v>Pilot units</x:v>
      </x:c>
      <x:c r="C26" s="32" t="n">
        <x:v>12</x:v>
      </x:c>
      <x:c r="D26" s="29" t="str">
        <x:v>robots</x:v>
      </x:c>
      <x:c r="E26" s="29" t="str">
        <x:v>SA-L</x:v>
      </x:c>
      <x:c r="F26" s="29" t="str">
        <x:v>Low</x:v>
      </x:c>
      <x:c r="G26" s="30" t="str">
        <x:v>Fictional pilot scope</x:v>
      </x:c>
    </x:row>
    <x:row r="27">
      <x:c r="A27" s="28" t="str">
        <x:v>ASM-023</x:v>
      </x:c>
      <x:c r="B27" s="29" t="str">
        <x:v>Fixtures and laboratory equipment</x:v>
      </x:c>
      <x:c r="C27" s="35" t="n">
        <x:v>120000</x:v>
      </x:c>
      <x:c r="D27" s="29" t="str">
        <x:v>USD</x:v>
      </x:c>
      <x:c r="E27" s="29" t="str">
        <x:v>SA-L</x:v>
      </x:c>
      <x:c r="F27" s="29" t="str">
        <x:v>Low</x:v>
      </x:c>
      <x:c r="G27" s="30" t="str">
        <x:v>Replace with binding quotes</x:v>
      </x:c>
    </x:row>
    <x:row r="28">
      <x:c r="A28" s="28" t="str">
        <x:v>ASM-024</x:v>
      </x:c>
      <x:c r="B28" s="29" t="str">
        <x:v>External safety, legal, and insurance</x:v>
      </x:c>
      <x:c r="C28" s="35" t="n">
        <x:v>150000</x:v>
      </x:c>
      <x:c r="D28" s="29" t="str">
        <x:v>USD</x:v>
      </x:c>
      <x:c r="E28" s="29" t="str">
        <x:v>SA-L</x:v>
      </x:c>
      <x:c r="F28" s="29" t="str">
        <x:v>Low</x:v>
      </x:c>
      <x:c r="G28" s="30" t="str">
        <x:v>Replace with binding proposals</x:v>
      </x:c>
    </x:row>
    <x:row r="29">
      <x:c r="A29" s="28" t="str">
        <x:v>ASM-025</x:v>
      </x:c>
      <x:c r="B29" s="29" t="str">
        <x:v>Cloud, data, and pilot operations</x:v>
      </x:c>
      <x:c r="C29" s="35" t="n">
        <x:v>72000</x:v>
      </x:c>
      <x:c r="D29" s="29" t="str">
        <x:v>USD</x:v>
      </x:c>
      <x:c r="E29" s="29" t="str">
        <x:v>SA-L</x:v>
      </x:c>
      <x:c r="F29" s="29" t="str">
        <x:v>Low</x:v>
      </x:c>
      <x:c r="G29" s="30" t="str">
        <x:v>Replace with approved operating plan</x:v>
      </x:c>
    </x:row>
    <x:row r="30">
      <x:c r="A30" s="28" t="str">
        <x:v>ASM-026</x:v>
      </x:c>
      <x:c r="B30" s="29" t="str">
        <x:v>Management reserve</x:v>
      </x:c>
      <x:c r="C30" s="36" t="n">
        <x:v>0.1</x:v>
      </x:c>
      <x:c r="D30" s="29" t="str">
        <x:v>share of subtotal</x:v>
      </x:c>
      <x:c r="E30" s="29" t="str">
        <x:v>SA-L</x:v>
      </x:c>
      <x:c r="F30" s="29" t="str">
        <x:v>Low</x:v>
      </x:c>
      <x:c r="G30" s="30" t="str">
        <x:v>Replace with approved risk reserve</x:v>
      </x:c>
    </x:row>
    <x:row r="31">
      <x:c r="A31" s="28" t="str">
        <x:v>ASM-027</x:v>
      </x:c>
      <x:c r="B31" s="29" t="str">
        <x:v>Program/product/systems staffing</x:v>
      </x:c>
      <x:c r="C31" s="32" t="n">
        <x:v>1.5</x:v>
      </x:c>
      <x:c r="D31" s="29" t="str">
        <x:v>FTE-years</x:v>
      </x:c>
      <x:c r="E31" s="29" t="str">
        <x:v>SA-L</x:v>
      </x:c>
      <x:c r="F31" s="29" t="str">
        <x:v>Low</x:v>
      </x:c>
      <x:c r="G31" s="30" t="str">
        <x:v>Approved resource plan</x:v>
      </x:c>
    </x:row>
    <x:row r="32">
      <x:c r="A32" s="28" t="str">
        <x:v>ASM-028</x:v>
      </x:c>
      <x:c r="B32" s="29" t="str">
        <x:v>Hardware/reliability/safety staffing</x:v>
      </x:c>
      <x:c r="C32" s="32" t="n">
        <x:v>1.5</x:v>
      </x:c>
      <x:c r="D32" s="29" t="str">
        <x:v>FTE-years</x:v>
      </x:c>
      <x:c r="E32" s="29" t="str">
        <x:v>SA-L</x:v>
      </x:c>
      <x:c r="F32" s="29" t="str">
        <x:v>Low</x:v>
      </x:c>
      <x:c r="G32" s="30" t="str">
        <x:v>Approved resource plan</x:v>
      </x:c>
    </x:row>
    <x:row r="33">
      <x:c r="A33" s="28" t="str">
        <x:v>ASM-029</x:v>
      </x:c>
      <x:c r="B33" s="29" t="str">
        <x:v>Software/security/release staffing</x:v>
      </x:c>
      <x:c r="C33" s="32" t="n">
        <x:v>2</x:v>
      </x:c>
      <x:c r="D33" s="29" t="str">
        <x:v>FTE-years</x:v>
      </x:c>
      <x:c r="E33" s="29" t="str">
        <x:v>SA-L</x:v>
      </x:c>
      <x:c r="F33" s="29" t="str">
        <x:v>Low</x:v>
      </x:c>
      <x:c r="G33" s="30" t="str">
        <x:v>Approved resource plan</x:v>
      </x:c>
    </x:row>
    <x:row r="34">
      <x:c r="A34" s="28" t="str">
        <x:v>ASM-030</x:v>
      </x:c>
      <x:c r="B34" s="29" t="str">
        <x:v>Manufacturing/quality staffing</x:v>
      </x:c>
      <x:c r="C34" s="32" t="n">
        <x:v>1</x:v>
      </x:c>
      <x:c r="D34" s="29" t="str">
        <x:v>FTE-years</x:v>
      </x:c>
      <x:c r="E34" s="29" t="str">
        <x:v>SA-L</x:v>
      </x:c>
      <x:c r="F34" s="29" t="str">
        <x:v>Low</x:v>
      </x:c>
      <x:c r="G34" s="30" t="str">
        <x:v>Approved resource plan</x:v>
      </x:c>
    </x:row>
    <x:row r="35">
      <x:c r="A35" s="28" t="str">
        <x:v>ASM-031</x:v>
      </x:c>
      <x:c r="B35" s="29" t="str">
        <x:v>Service/customer-operations staffing</x:v>
      </x:c>
      <x:c r="C35" s="32" t="n">
        <x:v>1</x:v>
      </x:c>
      <x:c r="D35" s="29" t="str">
        <x:v>FTE-years</x:v>
      </x:c>
      <x:c r="E35" s="29" t="str">
        <x:v>SA-L</x:v>
      </x:c>
      <x:c r="F35" s="29" t="str">
        <x:v>Low</x:v>
      </x:c>
      <x:c r="G35" s="30" t="str">
        <x:v>Approved resource plan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2277839fd404d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0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0" customHeight="1">
      <x:c r="A1" s="3" t="str">
        <x:v>Table 1. Productization budget — Evidence: [PB-M]/[PB-H]/[SA-L]/[DC-L]; Confidence: low overall</x:v>
      </x:c>
      <x:c r="B1" s="3"/>
      <x:c r="C1" s="3"/>
      <x:c r="D1" s="3"/>
      <x:c r="E1" s="3"/>
      <x:c r="F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</x:row>
    <x:row r="4" ht="30" customHeight="1">
      <x:c r="A4" s="11" t="str">
        <x:v>Cost category</x:v>
      </x:c>
      <x:c r="B4" s="11" t="str">
        <x:v>Basis</x:v>
      </x:c>
      <x:c r="C4" s="11" t="str">
        <x:v>Amount</x:v>
      </x:c>
      <x:c r="D4" s="11" t="str">
        <x:v>Evidence</x:v>
      </x:c>
      <x:c r="E4" s="11" t="str">
        <x:v>Confidence</x:v>
      </x:c>
      <x:c r="F4" s="11" t="str">
        <x:v>Replacement evidence</x:v>
      </x:c>
    </x:row>
    <x:row r="5">
      <x:c r="A5" s="25" t="str">
        <x:v>Program, product, systems, compliance labor</x:v>
      </x:c>
      <x:c r="B5" s="26" t="str">
        <x:v>1.5 FTE-years x loaded planning cost</x:v>
      </x:c>
      <x:c r="C5" s="37" t="n">
        <x:f>Assumptions!C31*Assumptions!C9</x:f>
        <x:v>331993.56223175966</x:v>
      </x:c>
      <x:c r="D5" s="26" t="str">
        <x:v>DC-L</x:v>
      </x:c>
      <x:c r="E5" s="26" t="str">
        <x:v>Low</x:v>
      </x:c>
      <x:c r="F5" s="27" t="str">
        <x:v>Approved staffing and payroll</x:v>
      </x:c>
    </x:row>
    <x:row r="6">
      <x:c r="A6" s="28" t="str">
        <x:v>Hardware, reliability, and safety labor</x:v>
      </x:c>
      <x:c r="B6" s="29" t="str">
        <x:v>1.5 FTE-years x loaded planning cost</x:v>
      </x:c>
      <x:c r="C6" s="38" t="n">
        <x:f>Assumptions!C32*Assumptions!C9</x:f>
        <x:v>331993.56223175966</x:v>
      </x:c>
      <x:c r="D6" s="29" t="str">
        <x:v>DC-L</x:v>
      </x:c>
      <x:c r="E6" s="29" t="str">
        <x:v>Low</x:v>
      </x:c>
      <x:c r="F6" s="30" t="str">
        <x:v>Approved staffing and payroll</x:v>
      </x:c>
    </x:row>
    <x:row r="7">
      <x:c r="A7" s="28" t="str">
        <x:v>Software, security, and release labor</x:v>
      </x:c>
      <x:c r="B7" s="29" t="str">
        <x:v>2.0 FTE-years x loaded planning cost</x:v>
      </x:c>
      <x:c r="C7" s="38" t="n">
        <x:f>Assumptions!C33*Assumptions!C9</x:f>
        <x:v>442658.08297567954</x:v>
      </x:c>
      <x:c r="D7" s="29" t="str">
        <x:v>DC-L</x:v>
      </x:c>
      <x:c r="E7" s="29" t="str">
        <x:v>Low</x:v>
      </x:c>
      <x:c r="F7" s="30" t="str">
        <x:v>Approved staffing and payroll</x:v>
      </x:c>
    </x:row>
    <x:row r="8">
      <x:c r="A8" s="28" t="str">
        <x:v>Manufacturing and quality labor</x:v>
      </x:c>
      <x:c r="B8" s="29" t="str">
        <x:v>1.0 FTE-year x loaded planning cost</x:v>
      </x:c>
      <x:c r="C8" s="38" t="n">
        <x:f>Assumptions!C34*Assumptions!C9</x:f>
        <x:v>221329.04148783977</x:v>
      </x:c>
      <x:c r="D8" s="29" t="str">
        <x:v>DC-L</x:v>
      </x:c>
      <x:c r="E8" s="29" t="str">
        <x:v>Low</x:v>
      </x:c>
      <x:c r="F8" s="30" t="str">
        <x:v>Approved staffing and payroll</x:v>
      </x:c>
    </x:row>
    <x:row r="9">
      <x:c r="A9" s="28" t="str">
        <x:v>Service and customer operations labor</x:v>
      </x:c>
      <x:c r="B9" s="29" t="str">
        <x:v>1.0 FTE-year x loaded planning cost</x:v>
      </x:c>
      <x:c r="C9" s="38" t="n">
        <x:f>Assumptions!C35*Assumptions!C9</x:f>
        <x:v>221329.04148783977</x:v>
      </x:c>
      <x:c r="D9" s="29" t="str">
        <x:v>DC-L</x:v>
      </x:c>
      <x:c r="E9" s="29" t="str">
        <x:v>Low</x:v>
      </x:c>
      <x:c r="F9" s="30" t="str">
        <x:v>Approved staffing and payroll</x:v>
      </x:c>
    </x:row>
    <x:row r="10">
      <x:c r="A10" s="28" t="str">
        <x:v>Twelve pilot units</x:v>
      </x:c>
      <x:c r="B10" s="29" t="str">
        <x:v>Pilot units x modeled unit direct cost</x:v>
      </x:c>
      <x:c r="C10" s="38" t="n">
        <x:f>Assumptions!C26*Unit_Economics!C8</x:f>
        <x:v>288000</x:v>
      </x:c>
      <x:c r="D10" s="29" t="str">
        <x:v>DC-L</x:v>
      </x:c>
      <x:c r="E10" s="29" t="str">
        <x:v>Low</x:v>
      </x:c>
      <x:c r="F10" s="30" t="str">
        <x:v>Binding BOM, routing, yield, freight</x:v>
      </x:c>
    </x:row>
    <x:row r="11">
      <x:c r="A11" s="28" t="str">
        <x:v>Fixtures and laboratory equipment</x:v>
      </x:c>
      <x:c r="B11" s="29" t="str">
        <x:v>Scenario allowance</x:v>
      </x:c>
      <x:c r="C11" s="38" t="n">
        <x:f>Assumptions!C27</x:f>
        <x:v>120000</x:v>
      </x:c>
      <x:c r="D11" s="29" t="str">
        <x:v>SA-L</x:v>
      </x:c>
      <x:c r="E11" s="29" t="str">
        <x:v>Low</x:v>
      </x:c>
      <x:c r="F11" s="30" t="str">
        <x:v>Binding quotes</x:v>
      </x:c>
    </x:row>
    <x:row r="12">
      <x:c r="A12" s="28" t="str">
        <x:v>External safety, legal, and insurance</x:v>
      </x:c>
      <x:c r="B12" s="29" t="str">
        <x:v>Scenario allowance</x:v>
      </x:c>
      <x:c r="C12" s="38" t="n">
        <x:f>Assumptions!C28</x:f>
        <x:v>150000</x:v>
      </x:c>
      <x:c r="D12" s="29" t="str">
        <x:v>SA-L</x:v>
      </x:c>
      <x:c r="E12" s="29" t="str">
        <x:v>Low</x:v>
      </x:c>
      <x:c r="F12" s="30" t="str">
        <x:v>Binding proposals</x:v>
      </x:c>
    </x:row>
    <x:row r="13">
      <x:c r="A13" s="28" t="str">
        <x:v>Cloud, data, and pilot operations</x:v>
      </x:c>
      <x:c r="B13" s="29" t="str">
        <x:v>Scenario allowance</x:v>
      </x:c>
      <x:c r="C13" s="38" t="n">
        <x:f>Assumptions!C29</x:f>
        <x:v>72000</x:v>
      </x:c>
      <x:c r="D13" s="29" t="str">
        <x:v>SA-L</x:v>
      </x:c>
      <x:c r="E13" s="29" t="str">
        <x:v>Low</x:v>
      </x:c>
      <x:c r="F13" s="30" t="str">
        <x:v>Approved operating plan</x:v>
      </x:c>
    </x:row>
    <x:row r="14">
      <x:c r="A14" s="43" t="str">
        <x:v>Subtotal</x:v>
      </x:c>
      <x:c r="B14" s="44" t="str">
        <x:v>Sum before reserve</x:v>
      </x:c>
      <x:c r="C14" s="45" t="n">
        <x:f>SUM(C5:C13)</x:f>
        <x:v>2179303.290414878</x:v>
      </x:c>
      <x:c r="D14" s="44" t="str">
        <x:v>DC-L</x:v>
      </x:c>
      <x:c r="E14" s="44" t="str">
        <x:v>Low</x:v>
      </x:c>
      <x:c r="F14" s="46" t="str">
        <x:v>Reconciled estimate</x:v>
      </x:c>
    </x:row>
    <x:row r="15">
      <x:c r="A15" s="43" t="str">
        <x:v>Management reserve</x:v>
      </x:c>
      <x:c r="B15" s="44" t="str">
        <x:v>10% of subtotal</x:v>
      </x:c>
      <x:c r="C15" s="45" t="n">
        <x:f>C14*Assumptions!C30</x:f>
        <x:v>217930.32904148783</x:v>
      </x:c>
      <x:c r="D15" s="44" t="str">
        <x:v>DC-L</x:v>
      </x:c>
      <x:c r="E15" s="44" t="str">
        <x:v>Low</x:v>
      </x:c>
      <x:c r="F15" s="46" t="str">
        <x:v>Sponsor-approved risk reserve</x:v>
      </x:c>
    </x:row>
    <x:row r="16">
      <x:c r="A16" s="43" t="str">
        <x:v>Total productization investment</x:v>
      </x:c>
      <x:c r="B16" s="44" t="str">
        <x:v>Subtotal + reserve</x:v>
      </x:c>
      <x:c r="C16" s="45" t="n">
        <x:f>C14+C15</x:f>
        <x:v>2397233.619456366</x:v>
      </x:c>
      <x:c r="D16" s="44" t="str">
        <x:v>DC-L</x:v>
      </x:c>
      <x:c r="E16" s="44" t="str">
        <x:v>Low</x:v>
      </x:c>
      <x:c r="F16" s="46" t="str">
        <x:v>Approved authorization and actuals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943f46569448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0" hidden="0" customWidth="1"/>
    <x:col min="3" max="3" width="20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0" customHeight="1">
      <x:c r="A1" s="3" t="str">
        <x:v>Table 1. Provider unit economics over 36 months — Confidence: low overall</x:v>
      </x:c>
      <x:c r="B1" s="3"/>
      <x:c r="C1" s="3"/>
      <x:c r="D1" s="3"/>
      <x:c r="E1" s="3"/>
      <x:c r="F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</x:row>
    <x:row r="4" ht="30" customHeight="1">
      <x:c r="A4" s="11" t="str">
        <x:v>Item</x:v>
      </x:c>
      <x:c r="B4" s="11" t="str">
        <x:v>Formula basis</x:v>
      </x:c>
      <x:c r="C4" s="11" t="str">
        <x:v>Amount</x:v>
      </x:c>
      <x:c r="D4" s="11" t="str">
        <x:v>Evidence</x:v>
      </x:c>
      <x:c r="E4" s="11" t="str">
        <x:v>Confidence</x:v>
      </x:c>
      <x:c r="F4" s="11" t="str">
        <x:v>Replacement evidence</x:v>
      </x:c>
    </x:row>
    <x:row r="5">
      <x:c r="A5" s="25" t="str">
        <x:v>Research-quadruped comparator</x:v>
      </x:c>
      <x:c r="B5" s="26" t="str">
        <x:v>Official Unitree Go2 EDU list price</x:v>
      </x:c>
      <x:c r="C5" s="37" t="n">
        <x:f>Assumptions!C11</x:f>
        <x:v>15900</x:v>
      </x:c>
      <x:c r="D5" s="26" t="str">
        <x:v>PB-M</x:v>
      </x:c>
      <x:c r="E5" s="26" t="str">
        <x:v>Medium</x:v>
      </x:c>
      <x:c r="F5" s="27" t="str">
        <x:v>Product-specific binding quote</x:v>
      </x:c>
    </x:row>
    <x:row r="6">
      <x:c r="A6" s="28" t="str">
        <x:v>Configuration/calibration labor</x:v>
      </x:c>
      <x:c r="B6" s="29" t="str">
        <x:v>50 hours x Glassdoor $74/hour</x:v>
      </x:c>
      <x:c r="C6" s="38" t="n">
        <x:f>Assumptions!C12*Assumptions!C6</x:f>
        <x:v>3700</x:v>
      </x:c>
      <x:c r="D6" s="29" t="str">
        <x:v>DC-L</x:v>
      </x:c>
      <x:c r="E6" s="29" t="str">
        <x:v>Low</x:v>
      </x:c>
      <x:c r="F6" s="30" t="str">
        <x:v>Routing and payroll actuals</x:v>
      </x:c>
    </x:row>
    <x:row r="7">
      <x:c r="A7" s="28" t="str">
        <x:v>Battery, e-stop, network, spares, delivery allowance</x:v>
      </x:c>
      <x:c r="B7" s="29" t="str">
        <x:v>Scenario allowance</x:v>
      </x:c>
      <x:c r="C7" s="38" t="n">
        <x:f>Assumptions!C13</x:f>
        <x:v>4400</x:v>
      </x:c>
      <x:c r="D7" s="29" t="str">
        <x:v>SA-L</x:v>
      </x:c>
      <x:c r="E7" s="29" t="str">
        <x:v>Low</x:v>
      </x:c>
      <x:c r="F7" s="30" t="str">
        <x:v>Binding BOM and freight</x:v>
      </x:c>
    </x:row>
    <x:row r="8">
      <x:c r="A8" s="28" t="str">
        <x:v>Build, calibration, and delivery</x:v>
      </x:c>
      <x:c r="B8" s="29" t="str">
        <x:v>Comparator + labor + allowance</x:v>
      </x:c>
      <x:c r="C8" s="38" t="n">
        <x:f>SUM(C5:C7)</x:f>
        <x:v>24000</x:v>
      </x:c>
      <x:c r="D8" s="29" t="str">
        <x:v>DC-L</x:v>
      </x:c>
      <x:c r="E8" s="29" t="str">
        <x:v>Low</x:v>
      </x:c>
      <x:c r="F8" s="30" t="str">
        <x:v>Audited unit cost</x:v>
      </x:c>
    </x:row>
    <x:row r="9">
      <x:c r="A9" s="28" t="str">
        <x:v>Direct service labor</x:v>
      </x:c>
      <x:c r="B9" s="29" t="str">
        <x:v>36 hours/year x $74 x 3 years</x:v>
      </x:c>
      <x:c r="C9" s="38" t="n">
        <x:f>Assumptions!C14*Assumptions!C6*3</x:f>
        <x:v>7992</x:v>
      </x:c>
      <x:c r="D9" s="29" t="str">
        <x:v>DC-L</x:v>
      </x:c>
      <x:c r="E9" s="29" t="str">
        <x:v>Low</x:v>
      </x:c>
      <x:c r="F9" s="30" t="str">
        <x:v>Service history and payroll</x:v>
      </x:c>
    </x:row>
    <x:row r="10">
      <x:c r="A10" s="28" t="str">
        <x:v>Cloud and telemetry</x:v>
      </x:c>
      <x:c r="B10" s="29" t="str">
        <x:v>$600/year x 3 years</x:v>
      </x:c>
      <x:c r="C10" s="38" t="n">
        <x:f>Assumptions!C15*3</x:f>
        <x:v>1800</x:v>
      </x:c>
      <x:c r="D10" s="29" t="str">
        <x:v>DC-L</x:v>
      </x:c>
      <x:c r="E10" s="29" t="str">
        <x:v>Low</x:v>
      </x:c>
      <x:c r="F10" s="30" t="str">
        <x:v>Cloud bills</x:v>
      </x:c>
    </x:row>
    <x:row r="11">
      <x:c r="A11" s="28" t="str">
        <x:v>Spares/warranty reserve</x:v>
      </x:c>
      <x:c r="B11" s="29" t="str">
        <x:v>12% x build cost</x:v>
      </x:c>
      <x:c r="C11" s="38" t="n">
        <x:f>C8*Assumptions!C16</x:f>
        <x:v>2880</x:v>
      </x:c>
      <x:c r="D11" s="29" t="str">
        <x:v>DC-L</x:v>
      </x:c>
      <x:c r="E11" s="29" t="str">
        <x:v>Low</x:v>
      </x:c>
      <x:c r="F11" s="30" t="str">
        <x:v>Warranty actuals</x:v>
      </x:c>
    </x:row>
    <x:row r="12">
      <x:c r="A12" s="28" t="str">
        <x:v>Total direct 36-month cost</x:v>
      </x:c>
      <x:c r="B12" s="29" t="str">
        <x:v>Build + service + cloud + reserve</x:v>
      </x:c>
      <x:c r="C12" s="38" t="n">
        <x:f>SUM(C8:C11)</x:f>
        <x:v>36672</x:v>
      </x:c>
      <x:c r="D12" s="29" t="str">
        <x:v>DC-L</x:v>
      </x:c>
      <x:c r="E12" s="29" t="str">
        <x:v>Low</x:v>
      </x:c>
      <x:c r="F12" s="30" t="str">
        <x:v>Audited service cost</x:v>
      </x:c>
    </x:row>
    <x:row r="13">
      <x:c r="A13" s="28" t="str">
        <x:v>Onboarding delivery cost</x:v>
      </x:c>
      <x:c r="B13" s="29" t="str">
        <x:v>40 hours x $74 + $1,500</x:v>
      </x:c>
      <x:c r="C13" s="38" t="n">
        <x:f>Assumptions!C17*Assumptions!C6+Assumptions!C18</x:f>
        <x:v>4460</x:v>
      </x:c>
      <x:c r="D13" s="29" t="str">
        <x:v>DC-L</x:v>
      </x:c>
      <x:c r="E13" s="29" t="str">
        <x:v>Low</x:v>
      </x:c>
      <x:c r="F13" s="30" t="str">
        <x:v>Delivery actuals</x:v>
      </x:c>
    </x:row>
    <x:row r="14">
      <x:c r="A14" s="28" t="str">
        <x:v>Onboarding contribution per robot</x:v>
      </x:c>
      <x:c r="B14" s="29" t="str">
        <x:v>($6,000 price - cost) / 2 robots</x:v>
      </x:c>
      <x:c r="C14" s="38" t="n">
        <x:f>(Assumptions!C19-C13)/Assumptions!C22</x:f>
        <x:v>770</x:v>
      </x:c>
      <x:c r="D14" s="29" t="str">
        <x:v>DC-L</x:v>
      </x:c>
      <x:c r="E14" s="29" t="str">
        <x:v>Low</x:v>
      </x:c>
      <x:c r="F14" s="30" t="str">
        <x:v>Executed order and actual cost</x:v>
      </x:c>
    </x:row>
    <x:row r="15">
      <x:c r="A15" s="43" t="str">
        <x:v>Unrounded monthly price floor</x:v>
      </x:c>
      <x:c r="B15" s="44" t="str">
        <x:v>Recover program across 48 robots</x:v>
      </x:c>
      <x:c r="C15" s="45" t="n">
        <x:f>(Program_Budget!C16/Assumptions!C21+C12-C14)/Assumptions!C20</x:f>
        <x:v>2384.5657520002114</x:v>
      </x:c>
      <x:c r="D15" s="44" t="str">
        <x:v>DC-L</x:v>
      </x:c>
      <x:c r="E15" s="44" t="str">
        <x:v>Low</x:v>
      </x:c>
      <x:c r="F15" s="46" t="str">
        <x:v>Executed terms and audited costs</x:v>
      </x:c>
    </x:row>
    <x:row r="16">
      <x:c r="A16" s="43" t="str">
        <x:v>Monthly decision price</x:v>
      </x:c>
      <x:c r="B16" s="44" t="str">
        <x:v>Nearest $100 above modeled floor</x:v>
      </x:c>
      <x:c r="C16" s="45" t="n">
        <x:f>ROUND(C15/100,0)*100</x:f>
        <x:v>2400</x:v>
      </x:c>
      <x:c r="D16" s="44" t="str">
        <x:v>DC-L</x:v>
      </x:c>
      <x:c r="E16" s="44" t="str">
        <x:v>Low</x:v>
      </x:c>
      <x:c r="F16" s="46" t="str">
        <x:v>Approved price book</x:v>
      </x:c>
    </x:row>
    <x:row r="17">
      <x:c r="A17" s="43" t="str">
        <x:v>Subscription revenue per robot</x:v>
      </x:c>
      <x:c r="B17" s="44" t="str">
        <x:v>Monthly price x 36</x:v>
      </x:c>
      <x:c r="C17" s="45" t="n">
        <x:f>C16*Assumptions!C20</x:f>
        <x:v>86400</x:v>
      </x:c>
      <x:c r="D17" s="44" t="str">
        <x:v>DC-L</x:v>
      </x:c>
      <x:c r="E17" s="44" t="str">
        <x:v>Low</x:v>
      </x:c>
      <x:c r="F17" s="46" t="str">
        <x:v>Executed order</x:v>
      </x:c>
    </x:row>
    <x:row r="18">
      <x:c r="A18" s="43" t="str">
        <x:v>Contribution before onboarding</x:v>
      </x:c>
      <x:c r="B18" s="44" t="str">
        <x:v>Revenue - direct cost</x:v>
      </x:c>
      <x:c r="C18" s="45" t="n">
        <x:f>C17-C12</x:f>
        <x:v>49728</x:v>
      </x:c>
      <x:c r="D18" s="44" t="str">
        <x:v>DC-L</x:v>
      </x:c>
      <x:c r="E18" s="44" t="str">
        <x:v>Low</x:v>
      </x:c>
      <x:c r="F18" s="46" t="str">
        <x:v>Collected revenue and audited costs</x:v>
      </x:c>
    </x:row>
    <x:row r="19">
      <x:c r="A19" s="43" t="str">
        <x:v>Total contribution per robot</x:v>
      </x:c>
      <x:c r="B19" s="44" t="str">
        <x:v>Contribution + onboarding allocation</x:v>
      </x:c>
      <x:c r="C19" s="45" t="n">
        <x:f>C18+C14</x:f>
        <x:v>50498</x:v>
      </x:c>
      <x:c r="D19" s="44" t="str">
        <x:v>DC-L</x:v>
      </x:c>
      <x:c r="E19" s="44" t="str">
        <x:v>Low</x:v>
      </x:c>
      <x:c r="F19" s="46" t="str">
        <x:v>Collected revenue and audited costs</x:v>
      </x:c>
    </x:row>
    <x:row r="20">
      <x:c r="A20" s="43" t="str">
        <x:v>Robots to recover investment</x:v>
      </x:c>
      <x:c r="B20" s="44" t="str">
        <x:v>Investment / contribution, rounded up</x:v>
      </x:c>
      <x:c r="C20" s="49" t="n">
        <x:f>CEILING(Program_Budget!C16/C19,1)</x:f>
        <x:v>48</x:v>
      </x:c>
      <x:c r="D20" s="44" t="str">
        <x:v>DC-L</x:v>
      </x:c>
      <x:c r="E20" s="44" t="str">
        <x:v>Low</x:v>
      </x:c>
      <x:c r="F20" s="46" t="str">
        <x:v>Contracted units and actual contribution</x:v>
      </x:c>
    </x:row>
    <x:row r="21">
      <x:c r="A21" s="43" t="str">
        <x:v>48-robot cohort contribution</x:v>
      </x:c>
      <x:c r="B21" s="44" t="str">
        <x:v>Contribution x 48</x:v>
      </x:c>
      <x:c r="C21" s="45" t="n">
        <x:f>C19*Assumptions!C21</x:f>
        <x:v>2423904</x:v>
      </x:c>
      <x:c r="D21" s="44" t="str">
        <x:v>DC-L</x:v>
      </x:c>
      <x:c r="E21" s="44" t="str">
        <x:v>Low</x:v>
      </x:c>
      <x:c r="F21" s="46" t="str">
        <x:v>Collected cohort contribution</x:v>
      </x:c>
    </x:row>
    <x:row r="22">
      <x:c r="A22" s="43" t="str">
        <x:v>Cohort buffer before omitted costs</x:v>
      </x:c>
      <x:c r="B22" s="44" t="str">
        <x:v>Cohort contribution - investment</x:v>
      </x:c>
      <x:c r="C22" s="45" t="n">
        <x:f>C21-Program_Budget!C16</x:f>
        <x:v>26670.38054363383</x:v>
      </x:c>
      <x:c r="D22" s="44" t="str">
        <x:v>DC-L</x:v>
      </x:c>
      <x:c r="E22" s="44" t="str">
        <x:v>Low</x:v>
      </x:c>
      <x:c r="F22" s="46" t="str">
        <x:v>Full income statement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94c88957dec49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6" hidden="0" customWidth="1"/>
    <x:col min="3" max="3" width="20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0" customHeight="1">
      <x:c r="A1" s="3" t="str">
        <x:v>Table 1. Customer two-robot value screen over 36 months — Confidence: low overall</x:v>
      </x:c>
      <x:c r="B1" s="3"/>
      <x:c r="C1" s="3"/>
      <x:c r="D1" s="3"/>
      <x:c r="E1" s="3"/>
      <x:c r="F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</x:row>
    <x:row r="4" ht="30" customHeight="1">
      <x:c r="A4" s="11" t="str">
        <x:v>Item</x:v>
      </x:c>
      <x:c r="B4" s="11" t="str">
        <x:v>Formula basis</x:v>
      </x:c>
      <x:c r="C4" s="11" t="str">
        <x:v>Amount</x:v>
      </x:c>
      <x:c r="D4" s="11" t="str">
        <x:v>Evidence</x:v>
      </x:c>
      <x:c r="E4" s="11" t="str">
        <x:v>Confidence</x:v>
      </x:c>
      <x:c r="F4" s="11" t="str">
        <x:v>Decision meaning</x:v>
      </x:c>
    </x:row>
    <x:row r="5">
      <x:c r="A5" s="25" t="str">
        <x:v>Onboarding</x:v>
      </x:c>
      <x:c r="B5" s="26" t="str">
        <x:v>One site</x:v>
      </x:c>
      <x:c r="C5" s="37" t="n">
        <x:f>Assumptions!C19</x:f>
        <x:v>6000</x:v>
      </x:c>
      <x:c r="D5" s="26" t="str">
        <x:v>SA-L</x:v>
      </x:c>
      <x:c r="E5" s="26" t="str">
        <x:v>Low</x:v>
      </x:c>
      <x:c r="F5" s="27" t="str">
        <x:v>Replace with executed order</x:v>
      </x:c>
    </x:row>
    <x:row r="6">
      <x:c r="A6" s="28" t="str">
        <x:v>Subscription</x:v>
      </x:c>
      <x:c r="B6" s="29" t="str">
        <x:v>2 robots x monthly price x 36</x:v>
      </x:c>
      <x:c r="C6" s="38" t="n">
        <x:f>Assumptions!C22*Unit_Economics!C16*Assumptions!C20</x:f>
        <x:v>172800</x:v>
      </x:c>
      <x:c r="D6" s="29" t="str">
        <x:v>DC-L</x:v>
      </x:c>
      <x:c r="E6" s="29" t="str">
        <x:v>Low</x:v>
      </x:c>
      <x:c r="F6" s="30" t="str">
        <x:v>Replace with executed order</x:v>
      </x:c>
    </x:row>
    <x:row r="7">
      <x:c r="A7" s="28" t="str">
        <x:v>Lab network allowance</x:v>
      </x:c>
      <x:c r="B7" s="29" t="str">
        <x:v>Scenario allowance</x:v>
      </x:c>
      <x:c r="C7" s="38" t="n">
        <x:f>Assumptions!C24</x:f>
        <x:v>6000</x:v>
      </x:c>
      <x:c r="D7" s="29" t="str">
        <x:v>SA-L</x:v>
      </x:c>
      <x:c r="E7" s="29" t="str">
        <x:v>Low</x:v>
      </x:c>
      <x:c r="F7" s="30" t="str">
        <x:v>Replace with site quote</x:v>
      </x:c>
    </x:row>
    <x:row r="8">
      <x:c r="A8" s="43" t="str">
        <x:v>Three-year TCO</x:v>
      </x:c>
      <x:c r="B8" s="44" t="str">
        <x:v>Onboarding + subscription + network</x:v>
      </x:c>
      <x:c r="C8" s="45" t="n">
        <x:f>SUM(C5:C7)</x:f>
        <x:v>184800</x:v>
      </x:c>
      <x:c r="D8" s="44" t="str">
        <x:v>DC-L</x:v>
      </x:c>
      <x:c r="E8" s="44" t="str">
        <x:v>Low</x:v>
      </x:c>
      <x:c r="F8" s="46" t="str">
        <x:v>Customer cost screen</x:v>
      </x:c>
    </x:row>
    <x:row r="9">
      <x:c r="A9" s="43" t="str">
        <x:v>Capacity value</x:v>
      </x:c>
      <x:c r="B9" s="44" t="str">
        <x:v>1,000 hours/year x Glassdoor $74/hour x 3</x:v>
      </x:c>
      <x:c r="C9" s="45" t="n">
        <x:f>Assumptions!C23*Assumptions!C6*3</x:f>
        <x:v>222000</x:v>
      </x:c>
      <x:c r="D9" s="44" t="str">
        <x:v>DC-L</x:v>
      </x:c>
      <x:c r="E9" s="44" t="str">
        <x:v>Low</x:v>
      </x:c>
      <x:c r="F9" s="46" t="str">
        <x:v>Capacity, not automatic cash savings</x:v>
      </x:c>
    </x:row>
    <x:row r="10">
      <x:c r="A10" s="43" t="str">
        <x:v>Net capacity value</x:v>
      </x:c>
      <x:c r="B10" s="44" t="str">
        <x:v>Capacity value - TCO</x:v>
      </x:c>
      <x:c r="C10" s="45" t="n">
        <x:f>C9-C8</x:f>
        <x:v>37200</x:v>
      </x:c>
      <x:c r="D10" s="44" t="str">
        <x:v>DC-L</x:v>
      </x:c>
      <x:c r="E10" s="44" t="str">
        <x:v>Low</x:v>
      </x:c>
      <x:c r="F10" s="46" t="str">
        <x:v>Must be converted to realized savings</x:v>
      </x:c>
    </x:row>
    <x:row r="11">
      <x:c r="A11" s="43" t="str">
        <x:v>Three-year ROI</x:v>
      </x:c>
      <x:c r="B11" s="44" t="str">
        <x:v>Net value / TCO</x:v>
      </x:c>
      <x:c r="C11" s="53" t="n">
        <x:f>C10/C8</x:f>
        <x:v>0.2012987012987013</x:v>
      </x:c>
      <x:c r="D11" s="44" t="str">
        <x:v>DC-L</x:v>
      </x:c>
      <x:c r="E11" s="44" t="str">
        <x:v>Low</x:v>
      </x:c>
      <x:c r="F11" s="46" t="str">
        <x:v>Base case passes 15% gate</x:v>
      </x:c>
    </x:row>
    <x:row r="12">
      <x:c r="A12" s="43" t="str">
        <x:v>Break-even released hours/year</x:v>
      </x:c>
      <x:c r="B12" s="44" t="str">
        <x:v>TCO / ($74 x 3)</x:v>
      </x:c>
      <x:c r="C12" s="54" t="n">
        <x:f>C8/(Assumptions!C6*3)</x:f>
        <x:v>832.4324324324324</x:v>
      </x:c>
      <x:c r="D12" s="44" t="str">
        <x:v>DC-L</x:v>
      </x:c>
      <x:c r="E12" s="44" t="str">
        <x:v>Low</x:v>
      </x:c>
      <x:c r="F12" s="46" t="str">
        <x:v>Round up to 833 hours</x:v>
      </x:c>
    </x:row>
    <x:row r="13">
      <x:c r="A13" s="43" t="str">
        <x:v>Maximum monthly price at 15% ROI</x:v>
      </x:c>
      <x:c r="B13" s="44" t="str">
        <x:v>Capacity/(1+gate), less onboarding/network, divided by robot-months</x:v>
      </x:c>
      <x:c r="C13" s="55" t="n">
        <x:f>((C9/(1+Assumptions!C25))-C5-C7)/(Assumptions!C22*Assumptions!C20)</x:f>
        <x:v>2514.4927536231885</x:v>
      </x:c>
      <x:c r="D13" s="44" t="str">
        <x:v>DC-L</x:v>
      </x:c>
      <x:c r="E13" s="44" t="str">
        <x:v>Low</x:v>
      </x:c>
      <x:c r="F13" s="46" t="str">
        <x:v>Price ceiling at base utilization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1ad6f567c88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8" hidden="0" customWidth="1"/>
  </x:cols>
  <x:sheetData>
    <x:row r="1" ht="30" customHeight="1">
      <x:c r="A1" s="3" t="str">
        <x:v>Table 1. Provider sensitivity — Evidence: formula-derived from mixed inputs; Confidence: low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Case</x:v>
      </x:c>
      <x:c r="B4" s="11" t="str">
        <x:v>Monthly price</x:v>
      </x:c>
      <x:c r="C4" s="11" t="str">
        <x:v>Build multiplier</x:v>
      </x:c>
      <x:c r="D4" s="11" t="str">
        <x:v>Service multiplier</x:v>
      </x:c>
      <x:c r="E4" s="11" t="str">
        <x:v>Direct 3-year cost</x:v>
      </x:c>
      <x:c r="F4" s="11" t="str">
        <x:v>Contribution</x:v>
      </x:c>
      <x:c r="G4" s="11" t="str">
        <x:v>Units to recover</x:v>
      </x:c>
      <x:c r="H4" s="11" t="str">
        <x:v>Decision</x:v>
      </x:c>
    </x:row>
    <x:row r="5">
      <x:c r="A5" s="25" t="str">
        <x:v>Base</x:v>
      </x:c>
      <x:c r="B5" s="56" t="n">
        <x:f>Unit_Economics!C16</x:f>
        <x:v>2400</x:v>
      </x:c>
      <x:c r="C5" s="57" t="n">
        <x:v>1</x:v>
      </x:c>
      <x:c r="D5" s="57" t="n">
        <x:v>1</x:v>
      </x:c>
      <x:c r="E5" s="56" t="n">
        <x:f>Unit_Economics!C8*C5+SUM(Unit_Economics!C9:C11)*D5</x:f>
        <x:v>36672</x:v>
      </x:c>
      <x:c r="F5" s="56" t="n">
        <x:f>B5*Assumptions!C20-E5+Unit_Economics!C14</x:f>
        <x:v>50498</x:v>
      </x:c>
      <x:c r="G5" s="59" t="n">
        <x:f>CEILING(Program_Budget!C16/F5,1)</x:f>
        <x:v>48</x:v>
      </x:c>
      <x:c r="H5" s="27" t="str">
        <x:v>Conditional pass at 48 units</x:v>
      </x:c>
    </x:row>
    <x:row r="6">
      <x:c r="A6" s="28" t="str">
        <x:v>Price -10%</x:v>
      </x:c>
      <x:c r="B6" s="35" t="n">
        <x:f>Unit_Economics!C16*0.9</x:f>
        <x:v>2160</x:v>
      </x:c>
      <x:c r="C6" s="58" t="n">
        <x:v>1</x:v>
      </x:c>
      <x:c r="D6" s="58" t="n">
        <x:v>1</x:v>
      </x:c>
      <x:c r="E6" s="35" t="n">
        <x:f>Unit_Economics!C8*C6+SUM(Unit_Economics!C9:C11)*D6</x:f>
        <x:v>36672</x:v>
      </x:c>
      <x:c r="F6" s="35" t="n">
        <x:f>B6*Assumptions!C20-E6+Unit_Economics!C14</x:f>
        <x:v>41858</x:v>
      </x:c>
      <x:c r="G6" s="47" t="n">
        <x:f>CEILING(Program_Budget!C16/F6,1)</x:f>
        <x:v>58</x:v>
      </x:c>
      <x:c r="H6" s="30" t="str">
        <x:v>Fails 48-unit cohort</x:v>
      </x:c>
    </x:row>
    <x:row r="7">
      <x:c r="A7" s="28" t="str">
        <x:v>Service cost +50%</x:v>
      </x:c>
      <x:c r="B7" s="35" t="n">
        <x:f>Unit_Economics!C16</x:f>
        <x:v>2400</x:v>
      </x:c>
      <x:c r="C7" s="58" t="n">
        <x:v>1</x:v>
      </x:c>
      <x:c r="D7" s="58" t="n">
        <x:v>1.5</x:v>
      </x:c>
      <x:c r="E7" s="35" t="n">
        <x:f>Unit_Economics!C8*C7+SUM(Unit_Economics!C9:C11)*D7</x:f>
        <x:v>43008</x:v>
      </x:c>
      <x:c r="F7" s="35" t="n">
        <x:f>B7*Assumptions!C20-E7+Unit_Economics!C14</x:f>
        <x:v>44162</x:v>
      </x:c>
      <x:c r="G7" s="47" t="n">
        <x:f>CEILING(Program_Budget!C16/F7,1)</x:f>
        <x:v>55</x:v>
      </x:c>
      <x:c r="H7" s="30" t="str">
        <x:v>Fails 48-unit cohort</x:v>
      </x:c>
    </x:row>
    <x:row r="8">
      <x:c r="A8" s="28" t="str">
        <x:v>Build cost +25%</x:v>
      </x:c>
      <x:c r="B8" s="35" t="n">
        <x:f>Unit_Economics!C16</x:f>
        <x:v>2400</x:v>
      </x:c>
      <x:c r="C8" s="58" t="n">
        <x:v>1.25</x:v>
      </x:c>
      <x:c r="D8" s="58" t="n">
        <x:v>1</x:v>
      </x:c>
      <x:c r="E8" s="35" t="n">
        <x:f>Unit_Economics!C8*C8+SUM(Unit_Economics!C9:C11)*D8</x:f>
        <x:v>42672</x:v>
      </x:c>
      <x:c r="F8" s="35" t="n">
        <x:f>B8*Assumptions!C20-E8+Unit_Economics!C14</x:f>
        <x:v>44498</x:v>
      </x:c>
      <x:c r="G8" s="47" t="n">
        <x:f>CEILING(Program_Budget!C16/F8,1)</x:f>
        <x:v>54</x:v>
      </x:c>
      <x:c r="H8" s="30" t="str">
        <x:v>Fails 48-unit cohort</x:v>
      </x:c>
    </x:row>
    <x:row r="9">
      <x:c r="A9" s="28" t="str">
        <x:v>Price -10% and service +50%</x:v>
      </x:c>
      <x:c r="B9" s="35" t="n">
        <x:f>Unit_Economics!C16*0.9</x:f>
        <x:v>2160</x:v>
      </x:c>
      <x:c r="C9" s="58" t="n">
        <x:v>1</x:v>
      </x:c>
      <x:c r="D9" s="58" t="n">
        <x:v>1.5</x:v>
      </x:c>
      <x:c r="E9" s="35" t="n">
        <x:f>Unit_Economics!C8*C9+SUM(Unit_Economics!C9:C11)*D9</x:f>
        <x:v>43008</x:v>
      </x:c>
      <x:c r="F9" s="35" t="n">
        <x:f>B9*Assumptions!C20-E9+Unit_Economics!C14</x:f>
        <x:v>35522</x:v>
      </x:c>
      <x:c r="G9" s="47" t="n">
        <x:f>CEILING(Program_Budget!C16/F9,1)</x:f>
        <x:v>68</x:v>
      </x:c>
      <x:c r="H9" s="30" t="str">
        <x:v>Stop / redesign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304d0ed3264b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6" hidden="0" customWidth="1"/>
    <x:col min="6" max="6" width="18" hidden="0" customWidth="1"/>
  </x:cols>
  <x:sheetData>
    <x:row r="1" ht="30" customHeight="1">
      <x:c r="A1" s="3" t="str">
        <x:v>Table 1. Customer value sensitivity — Evidence: formula-derived from [PB-M]/[SA-L]; Confidence: low</x:v>
      </x:c>
      <x:c r="B1" s="3"/>
      <x:c r="C1" s="3"/>
      <x:c r="D1" s="3"/>
      <x:c r="E1" s="3"/>
      <x:c r="F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</x:row>
    <x:row r="4" ht="30" customHeight="1">
      <x:c r="A4" s="11" t="str">
        <x:v>Released hours/year</x:v>
      </x:c>
      <x:c r="B4" s="11" t="str">
        <x:v>Salary value/hour</x:v>
      </x:c>
      <x:c r="C4" s="11" t="str">
        <x:v>Three-year capacity value</x:v>
      </x:c>
      <x:c r="D4" s="11" t="str">
        <x:v>Net value vs. TCO</x:v>
      </x:c>
      <x:c r="E4" s="11" t="str">
        <x:v>ROI</x:v>
      </x:c>
      <x:c r="F4" s="11" t="str">
        <x:v>15% gate</x:v>
      </x:c>
    </x:row>
    <x:row r="5">
      <x:c r="A5" s="60" t="n">
        <x:v>1200</x:v>
      </x:c>
      <x:c r="B5" s="56" t="n">
        <x:v>74</x:v>
      </x:c>
      <x:c r="C5" s="62" t="n">
        <x:f>A5*B5*3</x:f>
        <x:v>266400</x:v>
      </x:c>
      <x:c r="D5" s="62" t="n">
        <x:f>C5-Customer_Value!C8</x:f>
        <x:v>81600</x:v>
      </x:c>
      <x:c r="E5" s="64" t="n">
        <x:f>D5/Customer_Value!C8</x:f>
        <x:v>0.44155844155844154</x:v>
      </x:c>
      <x:c r="F5" s="67" t="str">
        <x:v>Pass</x:v>
      </x:c>
    </x:row>
    <x:row r="6">
      <x:c r="A6" s="61" t="n">
        <x:v>1000</x:v>
      </x:c>
      <x:c r="B6" s="35" t="n">
        <x:v>74</x:v>
      </x:c>
      <x:c r="C6" s="63" t="n">
        <x:f>A6*B6*3</x:f>
        <x:v>222000</x:v>
      </x:c>
      <x:c r="D6" s="63" t="n">
        <x:f>C6-Customer_Value!C8</x:f>
        <x:v>37200</x:v>
      </x:c>
      <x:c r="E6" s="36" t="n">
        <x:f>D6/Customer_Value!C8</x:f>
        <x:v>0.2012987012987013</x:v>
      </x:c>
      <x:c r="F6" s="68" t="str">
        <x:v>Pass</x:v>
      </x:c>
    </x:row>
    <x:row r="7">
      <x:c r="A7" s="61" t="n">
        <x:v>900</x:v>
      </x:c>
      <x:c r="B7" s="35" t="n">
        <x:v>74</x:v>
      </x:c>
      <x:c r="C7" s="63" t="n">
        <x:f>A7*B7*3</x:f>
        <x:v>199800</x:v>
      </x:c>
      <x:c r="D7" s="63" t="n">
        <x:f>C7-Customer_Value!C8</x:f>
        <x:v>15000</x:v>
      </x:c>
      <x:c r="E7" s="36" t="n">
        <x:f>D7/Customer_Value!C8</x:f>
        <x:v>0.08116883116883117</x:v>
      </x:c>
      <x:c r="F7" s="70" t="str">
        <x:v>Below gate</x:v>
      </x:c>
    </x:row>
    <x:row r="8">
      <x:c r="A8" s="61" t="n">
        <x:v>800</x:v>
      </x:c>
      <x:c r="B8" s="35" t="n">
        <x:v>74</x:v>
      </x:c>
      <x:c r="C8" s="63" t="n">
        <x:f>A8*B8*3</x:f>
        <x:v>177600</x:v>
      </x:c>
      <x:c r="D8" s="63" t="n">
        <x:f>C8-Customer_Value!C8</x:f>
        <x:v>-7200</x:v>
      </x:c>
      <x:c r="E8" s="36" t="n">
        <x:f>D8/Customer_Value!C8</x:f>
        <x:v>-0.03896103896103896</x:v>
      </x:c>
      <x:c r="F8" s="72" t="str">
        <x:v>Fail</x:v>
      </x:c>
    </x:row>
    <x:row r="9">
      <x:c r="A9" s="61" t="n">
        <x:v>1000</x:v>
      </x:c>
      <x:c r="B9" s="35" t="n">
        <x:v>60</x:v>
      </x:c>
      <x:c r="C9" s="63" t="n">
        <x:f>A9*B9*3</x:f>
        <x:v>180000</x:v>
      </x:c>
      <x:c r="D9" s="63" t="n">
        <x:f>C9-Customer_Value!C8</x:f>
        <x:v>-4800</x:v>
      </x:c>
      <x:c r="E9" s="36" t="n">
        <x:f>D9/Customer_Value!C8</x:f>
        <x:v>-0.025974025974025976</x:v>
      </x:c>
      <x:c r="F9" s="72" t="str">
        <x:v>Fail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9f2c3b216dd47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2" hidden="0" customWidth="1"/>
    <x:col min="3" max="3" width="46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30" customHeight="1">
      <x:c r="A1" s="3" t="str">
        <x:v>Table 1. Public source register — Research checked 2026-08-24</x:v>
      </x:c>
      <x:c r="B1" s="3"/>
      <x:c r="C1" s="3"/>
      <x:c r="D1" s="3"/>
      <x:c r="E1" s="3"/>
      <x:c r="F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  <x:c r="F2" s="7"/>
    </x:row>
    <x:row r="4" ht="30" customHeight="1">
      <x:c r="A4" s="11" t="str">
        <x:v>Source</x:v>
      </x:c>
      <x:c r="B4" s="11" t="str">
        <x:v>URL</x:v>
      </x:c>
      <x:c r="C4" s="11" t="str">
        <x:v>Dated fact used</x:v>
      </x:c>
      <x:c r="D4" s="11" t="str">
        <x:v>Evidence</x:v>
      </x:c>
      <x:c r="E4" s="11" t="str">
        <x:v>Confidence</x:v>
      </x:c>
      <x:c r="F4" s="11" t="str">
        <x:v>Limitation</x:v>
      </x:c>
    </x:row>
    <x:row r="5">
      <x:c r="A5" s="25" t="str">
        <x:v>Glassdoor U.S. Robotics Software Engineer salary</x:v>
      </x:c>
      <x:c r="B5" s="26" t="str">
        <x:v>https://www.glassdoor.com/Salaries/gyor-robotics-software-engineer-salary-SRCH_IL.0%2C4_KO5%2C31.htm</x:v>
      </x:c>
      <x:c r="C5" s="26" t="str">
        <x:v>$154,709/year or $74/hour; 435 salaries; May 2026</x:v>
      </x:c>
      <x:c r="D5" s="26" t="str">
        <x:v>PB-M</x:v>
      </x:c>
      <x:c r="E5" s="26" t="str">
        <x:v>Medium</x:v>
      </x:c>
      <x:c r="F5" s="27" t="str">
        <x:v>Crowdsourced/model-based; not customer payroll or loaded cost</x:v>
      </x:c>
    </x:row>
    <x:row r="6">
      <x:c r="A6" s="28" t="str">
        <x:v>BLS Employer Costs for Employee Compensation</x:v>
      </x:c>
      <x:c r="B6" s="29" t="str">
        <x:v>https://www.bls.gov/charts/employer-costs-for-employee-compensation/costs-by-industry.htm</x:v>
      </x:c>
      <x:c r="C6" s="29" t="str">
        <x:v>Private-industry wages 69.9% and benefits 30.1%; March 2026</x:v>
      </x:c>
      <x:c r="D6" s="29" t="str">
        <x:v>PB-H</x:v>
      </x:c>
      <x:c r="E6" s="29" t="str">
        <x:v>High</x:v>
      </x:c>
      <x:c r="F6" s="30" t="str">
        <x:v>Aggregate factor, not company-specific</x:v>
      </x:c>
    </x:row>
    <x:row r="7">
      <x:c r="A7" s="28" t="str">
        <x:v>Unitree Go2 EDU official store</x:v>
      </x:c>
      <x:c r="B7" s="29" t="str">
        <x:v>https://www.unitree-robot.com/shop/products/unitree-go2</x:v>
      </x:c>
      <x:c r="C7" s="29" t="str">
        <x:v>$15,900 research/developer configuration</x:v>
      </x:c>
      <x:c r="D7" s="29" t="str">
        <x:v>PB-M</x:v>
      </x:c>
      <x:c r="E7" s="29" t="str">
        <x:v>Medium</x:v>
      </x:c>
      <x:c r="F7" s="30" t="str">
        <x:v>Different platform; not a Solo12 quote</x:v>
      </x:c>
    </x:row>
    <x:row r="8">
      <x:c r="A8" s="28" t="str">
        <x:v>Open Dynamic Robot Initiative</x:v>
      </x:c>
      <x:c r="B8" s="29" t="str">
        <x:v>https://open-dynamic-robot-initiative.github.io/</x:v>
      </x:c>
      <x:c r="C8" s="29" t="str">
        <x:v>Open hardware/software objective and BSD 3-Clause statement</x:v>
      </x:c>
      <x:c r="D8" s="29" t="str">
        <x:v>PB-H</x:v>
      </x:c>
      <x:c r="E8" s="29" t="str">
        <x:v>High</x:v>
      </x:c>
      <x:c r="F8" s="30" t="str">
        <x:v>Does not endorse the fictional product</x:v>
      </x:c>
    </x:row>
    <x:row r="9">
      <x:c r="A9" s="28" t="str">
        <x:v>Solo12 hardware repository</x:v>
      </x:c>
      <x:c r="B9" s="29" t="str">
        <x:v>https://github.com/open-dynamic-robot-initiative/open_robot_actuator_hardware/blob/master/mechanics/quadruped_robot_12dof_v1/README.md</x:v>
      </x:c>
      <x:c r="C9" s="29" t="str">
        <x:v>12 active degrees of freedom and documented components</x:v>
      </x:c>
      <x:c r="D9" s="29" t="str">
        <x:v>PB-H</x:v>
      </x:c>
      <x:c r="E9" s="29" t="str">
        <x:v>High</x:v>
      </x:c>
      <x:c r="F9" s="30" t="str">
        <x:v>Reference design, not product BOM</x:v>
      </x:c>
    </x:row>
    <x:row r="10">
      <x:c r="A10" s="28" t="str">
        <x:v>PAL Robotics Solo12 status</x:v>
      </x:c>
      <x:c r="B10" s="29" t="str">
        <x:v>https://solo.pal-robotics.com/solo</x:v>
      </x:c>
      <x:c r="C10" s="29" t="str">
        <x:v>Solo12 sales discontinued</x:v>
      </x:c>
      <x:c r="D10" s="29" t="str">
        <x:v>PB-H</x:v>
      </x:c>
      <x:c r="E10" s="29" t="str">
        <x:v>High</x:v>
      </x:c>
      <x:c r="F10" s="30" t="str">
        <x:v>Creates supply-chain/obsolescence gate</x:v>
      </x:c>
    </x:row>
    <x:row r="11">
      <x:c r="A11" s="28" t="str">
        <x:v>NIST Secure Software Development Framework</x:v>
      </x:c>
      <x:c r="B11" s="29" t="str">
        <x:v>https://csrc.nist.gov/pubs/sp/800/218/final</x:v>
      </x:c>
      <x:c r="C11" s="29" t="str">
        <x:v>Secure development control structure</x:v>
      </x:c>
      <x:c r="D11" s="29" t="str">
        <x:v>PB-H</x:v>
      </x:c>
      <x:c r="E11" s="29" t="str">
        <x:v>High</x:v>
      </x:c>
      <x:c r="F11" s="30" t="str">
        <x:v>Guidance, not certification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5487a0763d49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0" hidden="0" customWidth="1"/>
    <x:col min="5" max="5" width="16" hidden="0" customWidth="1"/>
  </x:cols>
  <x:sheetData>
    <x:row r="1" ht="30" customHeight="1">
      <x:c r="A1" s="3" t="str">
        <x:v>Table 1. Formula and reconciliation checks — All rows must pass before release</x:v>
      </x:c>
      <x:c r="B1" s="3"/>
      <x:c r="C1" s="3"/>
      <x:c r="D1" s="3"/>
      <x:c r="E1" s="3"/>
    </x:row>
    <x:row r="2" ht="28" customHeight="1">
      <x:c r="A2" s="7" t="str">
        <x:v>PB-H = public benchmark/high; PB-M = public benchmark/medium; SA-L = scenario assumption/low; DC-M/DC-L = derived calculation inheriting its weakest material input; UPV = pending validation.</x:v>
      </x:c>
      <x:c r="B2" s="7"/>
      <x:c r="C2" s="7"/>
      <x:c r="D2" s="7"/>
      <x:c r="E2" s="7"/>
    </x:row>
    <x:row r="4" ht="30" customHeight="1">
      <x:c r="A4" s="11" t="str">
        <x:v>Check</x:v>
      </x:c>
      <x:c r="B4" s="11" t="str">
        <x:v>Calculated</x:v>
      </x:c>
      <x:c r="C4" s="11" t="str">
        <x:v>Expected</x:v>
      </x:c>
      <x:c r="D4" s="11" t="str">
        <x:v>Variance</x:v>
      </x:c>
      <x:c r="E4" s="11" t="str">
        <x:v>Status</x:v>
      </x:c>
    </x:row>
    <x:row r="5">
      <x:c r="A5" s="25" t="str">
        <x:v>Program investment</x:v>
      </x:c>
      <x:c r="B5" s="37" t="n">
        <x:f>Program_Budget!C16</x:f>
        <x:v>2397233.619456366</x:v>
      </x:c>
      <x:c r="C5" s="37" t="n">
        <x:v>2397233.62</x:v>
      </x:c>
      <x:c r="D5" s="37" t="n">
        <x:f>B5-C5</x:f>
        <x:v>-0.0005436339415609837</x:v>
      </x:c>
      <x:c r="E5" s="67" t="str">
        <x:f>IF(ABS(D5)&lt;0.01,"PASS","FAIL")</x:f>
        <x:v>PASS</x:v>
      </x:c>
    </x:row>
    <x:row r="6">
      <x:c r="A6" s="28" t="str">
        <x:v>Build/calibration/delivery</x:v>
      </x:c>
      <x:c r="B6" s="38" t="n">
        <x:f>Unit_Economics!C8</x:f>
        <x:v>24000</x:v>
      </x:c>
      <x:c r="C6" s="38" t="n">
        <x:v>24000</x:v>
      </x:c>
      <x:c r="D6" s="38" t="n">
        <x:f>B6-C6</x:f>
        <x:v>0</x:v>
      </x:c>
      <x:c r="E6" s="68" t="str">
        <x:f>IF(ABS(D6)&lt;0.01,"PASS","FAIL")</x:f>
        <x:v>PASS</x:v>
      </x:c>
    </x:row>
    <x:row r="7">
      <x:c r="A7" s="28" t="str">
        <x:v>Direct service/cloud/reserve</x:v>
      </x:c>
      <x:c r="B7" s="38" t="n">
        <x:f>SUM(Unit_Economics!C9:C11)</x:f>
        <x:v>12672</x:v>
      </x:c>
      <x:c r="C7" s="38" t="n">
        <x:v>12672</x:v>
      </x:c>
      <x:c r="D7" s="38" t="n">
        <x:f>B7-C7</x:f>
        <x:v>0</x:v>
      </x:c>
      <x:c r="E7" s="68" t="str">
        <x:f>IF(ABS(D7)&lt;0.01,"PASS","FAIL")</x:f>
        <x:v>PASS</x:v>
      </x:c>
    </x:row>
    <x:row r="8">
      <x:c r="A8" s="28" t="str">
        <x:v>Monthly decision price</x:v>
      </x:c>
      <x:c r="B8" s="38" t="n">
        <x:f>Unit_Economics!C16</x:f>
        <x:v>2400</x:v>
      </x:c>
      <x:c r="C8" s="38" t="n">
        <x:v>2400</x:v>
      </x:c>
      <x:c r="D8" s="38" t="n">
        <x:f>B8-C8</x:f>
        <x:v>0</x:v>
      </x:c>
      <x:c r="E8" s="68" t="str">
        <x:f>IF(ABS(D8)&lt;0.01,"PASS","FAIL")</x:f>
        <x:v>PASS</x:v>
      </x:c>
    </x:row>
    <x:row r="9">
      <x:c r="A9" s="28" t="str">
        <x:v>Robots to recover investment</x:v>
      </x:c>
      <x:c r="B9" s="38" t="n">
        <x:f>Unit_Economics!C20</x:f>
        <x:v>48</x:v>
      </x:c>
      <x:c r="C9" s="38" t="n">
        <x:v>48</x:v>
      </x:c>
      <x:c r="D9" s="38" t="n">
        <x:f>B9-C9</x:f>
        <x:v>0</x:v>
      </x:c>
      <x:c r="E9" s="68" t="str">
        <x:f>IF(ABS(D9)&lt;0.01,"PASS","FAIL")</x:f>
        <x:v>PASS</x:v>
      </x:c>
    </x:row>
    <x:row r="10">
      <x:c r="A10" s="28" t="str">
        <x:v>Customer three-year TCO</x:v>
      </x:c>
      <x:c r="B10" s="38" t="n">
        <x:f>Customer_Value!C8</x:f>
        <x:v>184800</x:v>
      </x:c>
      <x:c r="C10" s="38" t="n">
        <x:v>184800</x:v>
      </x:c>
      <x:c r="D10" s="38" t="n">
        <x:f>B10-C10</x:f>
        <x:v>0</x:v>
      </x:c>
      <x:c r="E10" s="68" t="str">
        <x:f>IF(ABS(D10)&lt;0.01,"PASS","FAIL")</x:f>
        <x:v>PASS</x:v>
      </x:c>
    </x:row>
    <x:row r="11">
      <x:c r="A11" s="28" t="str">
        <x:v>Customer ROI</x:v>
      </x:c>
      <x:c r="B11" s="73" t="n">
        <x:f>Customer_Value!C11</x:f>
        <x:v>0.2012987012987013</x:v>
      </x:c>
      <x:c r="C11" s="73" t="n">
        <x:v>0.2012987013</x:v>
      </x:c>
      <x:c r="D11" s="73" t="n">
        <x:f>B11-C11</x:f>
        <x:v>-1.2986833830552769e-12</x:v>
      </x:c>
      <x:c r="E11" s="68" t="str">
        <x:f>IF(ABS(D11)&lt;0.01,"PASS","FAIL")</x:f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a8854c5532948a0"/>
  </x:tableParts>
</x:worksheet>
</file>