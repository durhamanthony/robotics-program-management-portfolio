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ba78c52a2647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fdc0186da2a4b43"/>
    <x:sheet xmlns:r="http://schemas.openxmlformats.org/officeDocument/2006/relationships" name="Instructions" sheetId="2" r:id="R4fd581b8e70b48b1"/>
    <x:sheet xmlns:r="http://schemas.openxmlformats.org/officeDocument/2006/relationships" name="Assumptions" sheetId="3" r:id="Rd3224712a2694c55"/>
    <x:sheet xmlns:r="http://schemas.openxmlformats.org/officeDocument/2006/relationships" name="Portfolio" sheetId="4" r:id="R9a2eb6a6a0fe4a09"/>
    <x:sheet xmlns:r="http://schemas.openxmlformats.org/officeDocument/2006/relationships" name="Schedule" sheetId="5" r:id="R0172abada51a4b12"/>
    <x:sheet xmlns:r="http://schemas.openxmlformats.org/officeDocument/2006/relationships" name="RAID" sheetId="6" r:id="R17e0312b2f374cca"/>
    <x:sheet xmlns:r="http://schemas.openxmlformats.org/officeDocument/2006/relationships" name="Requirements" sheetId="7" r:id="R3070451fcb134ab0"/>
    <x:sheet xmlns:r="http://schemas.openxmlformats.org/officeDocument/2006/relationships" name="Budget_TCO" sheetId="8" r:id="Rcf09a4da05d84079"/>
    <x:sheet xmlns:r="http://schemas.openxmlformats.org/officeDocument/2006/relationships" name="Benefits" sheetId="9" r:id="R0eb068b0c35248ab"/>
    <x:sheet xmlns:r="http://schemas.openxmlformats.org/officeDocument/2006/relationships" name="Evidence" sheetId="10" r:id="Rf055fbfed8f24bde"/>
    <x:sheet xmlns:r="http://schemas.openxmlformats.org/officeDocument/2006/relationships" name="Stakeholders" sheetId="11" r:id="R4c582a8149ae4fb3"/>
    <x:sheet xmlns:r="http://schemas.openxmlformats.org/officeDocument/2006/relationships" name="Vendors" sheetId="12" r:id="R922eceff54724bde"/>
    <x:sheet xmlns:r="http://schemas.openxmlformats.org/officeDocument/2006/relationships" name="Gate_Log" sheetId="13" r:id="R76a7af78fe664a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$#,##0;[Red]-$#,##0"/>
    <x:numFmt numFmtId="202" formatCode="0%"/>
    <x:numFmt numFmtId="203" formatCode="0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9"/>
      <x:color rgb="FF5B6670"/>
      <x:name val="Carlito"/>
    </x:font>
    <x:font>
      <x:b/>
      <x:sz val="10"/>
      <x:color rgb="FFFFFFFF"/>
      <x:name val="Carlito"/>
    </x:font>
    <x:font>
      <x:sz val="9"/>
      <x:color rgb="FF17212B"/>
      <x:name val="Carlito"/>
    </x:font>
    <x:font>
      <x:b/>
      <x:sz val="11"/>
      <x:color rgb="FFFFFFFF"/>
      <x:name val="Carlito"/>
    </x:font>
    <x:font>
      <x:sz val="10"/>
      <x:color rgb="FF17212B"/>
      <x:name val="Carlito"/>
    </x:font>
    <x:font>
      <x:b/>
      <x:sz val="11"/>
      <x:color rgb="FF0B2545"/>
      <x:name val="Carlito"/>
    </x:font>
    <x:font>
      <x:b/>
      <x:sz val="9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DDF4F0"/>
      </x:patternFill>
    </x:fill>
    <x:fill>
      <x:patternFill patternType="solid">
        <x:fgColor rgb="FF2E74B5"/>
      </x:patternFill>
    </x:fill>
    <x:fill>
      <x:patternFill patternType="solid">
        <x:fgColor rgb="FFFFFFFF"/>
      </x:patternFill>
    </x:fill>
    <x:fill>
      <x:patternFill patternType="solid">
        <x:fgColor rgb="FFE8EEF5"/>
      </x:patternFill>
    </x:fill>
  </x:fills>
  <x:borders count="7">
    <x:border/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202" fontId="4" fillId="0" borderId="2" xfId="0" applyNumberFormat="1" applyFont="1" applyFill="1" applyBorder="1" applyAlignment="1">
      <x:alignment vertical="top" wrapText="1"/>
    </x:xf>
    <x:xf numFmtId="202" fontId="4" fillId="0" borderId="5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203" fontId="6" fillId="5" borderId="2" xfId="0" applyNumberFormat="1" applyFont="1" applyFill="1" applyBorder="1"/>
    <x:xf numFmtId="203" fontId="6" fillId="5" borderId="5" xfId="0" applyNumberFormat="1" applyFont="1" applyFill="1" applyBorder="1"/>
    <x:xf numFmtId="201" fontId="6" fillId="5" borderId="3" xfId="0" applyNumberFormat="1" applyFont="1" applyFill="1" applyBorder="1"/>
    <x:xf numFmtId="201" fontId="6" fillId="5" borderId="6" xfId="0" applyNumberFormat="1" applyFont="1" applyFill="1" applyBorder="1"/>
    <x:xf numFmtId="203" fontId="6" fillId="5" borderId="6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wrapText="1"/>
    </x:xf>
    <x:xf numFmtId="0" fontId="8" fillId="4" borderId="2" xfId="0" applyNumberFormat="1" applyFont="1" applyFill="1" applyBorder="1" applyAlignment="1">
      <x:alignment wrapText="1"/>
    </x:xf>
    <x:xf numFmtId="0" fontId="8" fillId="4" borderId="3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b/>
        <x:color rgb="FF9B1C1C"/>
      </x:font>
      <x:fill>
        <x:patternFill patternType="solid">
          <x:bgColor rgb="FFFCE8E6"/>
        </x:patternFill>
      </x:fill>
    </x:dxf>
    <x:dxf>
      <x:font>
        <x:b/>
        <x:color rgb="FF087F6B"/>
      </x:font>
      <x:fill>
        <x:patternFill patternType="solid">
          <x:bgColor rgb="FFE6F4EA"/>
        </x:patternFill>
      </x:fill>
    </x:dxf>
    <x:dxf>
      <x:font>
        <x:b/>
        <x:color rgb="FF9B1C1C"/>
      </x:font>
      <x:fill>
        <x:patternFill patternType="solid">
          <x:bgColor rgb="FFFCE8E6"/>
        </x:patternFill>
      </x:fill>
    </x:dxf>
    <x:dxf>
      <x:font>
        <x:b/>
        <x:color rgb="FF087F6B"/>
      </x:font>
      <x:fill>
        <x:patternFill patternType="solid">
          <x:bgColor rgb="FFE6F4EA"/>
        </x:patternFill>
      </x:fill>
    </x:dxf>
    <x:dxf>
      <x:font>
        <x:b/>
        <x:color rgb="FF9B1C1C"/>
      </x:font>
      <x:fill>
        <x:patternFill patternType="solid">
          <x:bgColor rgb="FFFCE8E6"/>
        </x:patternFill>
      </x:fill>
    </x:dxf>
    <x:dxf>
      <x:font>
        <x:b/>
        <x:color rgb="FF087F6B"/>
      </x:font>
      <x:fill>
        <x:patternFill patternType="solid">
          <x:bgColor rgb="FFE6F4EA"/>
        </x:patternFill>
      </x:fill>
    </x:dxf>
    <x:dxf>
      <x:font>
        <x:b/>
        <x:color rgb="FF9B1C1C"/>
      </x:font>
      <x:fill>
        <x:patternFill patternType="solid">
          <x:bgColor rgb="FFFCE8E6"/>
        </x:patternFill>
      </x:fill>
    </x:dxf>
    <x:dxf>
      <x:font>
        <x:b/>
        <x:color rgb="FF087F6B"/>
      </x:font>
      <x:fill>
        <x:patternFill patternType="solid">
          <x:bgColor rgb="FFE6F4EA"/>
        </x:patternFill>
      </x:fill>
    </x:dxf>
    <x:dxf>
      <x:font>
        <x:b/>
        <x:color rgb="FF7A5A00"/>
      </x:font>
      <x:fill>
        <x:patternFill patternType="solid">
          <x:bgColor rgb="FFFFF0CE"/>
        </x:patternFill>
      </x:fill>
    </x:dxf>
    <x:dxf>
      <x:font>
        <x:b/>
        <x:color rgb="FF087F6B"/>
      </x:font>
      <x:fill>
        <x:patternFill patternType="solid">
          <x:bgColor rgb="FFE6F4EA"/>
        </x:patternFill>
      </x:fill>
    </x:dxf>
    <x:dxf>
      <x:font>
        <x:b/>
        <x:color rgb="FF9B1C1C"/>
      </x:font>
      <x:fill>
        <x:patternFill patternType="solid">
          <x:bgColor rgb="FFFCE8E6"/>
        </x:patternFill>
      </x:fill>
    </x:dxf>
    <x:dxf>
      <x:font>
        <x:b/>
        <x:color rgb="FF087F6B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092a4cdea5494a" /><Relationship Type="http://schemas.openxmlformats.org/officeDocument/2006/relationships/theme" Target="/xl/theme/theme1.xml" Id="R9b02f2154d9a443c" /><Relationship Type="http://schemas.openxmlformats.org/officeDocument/2006/relationships/sharedStrings" Target="/xl/sharedStrings.xml" Id="Rd38c32d065e84975" /><Relationship Type="http://schemas.openxmlformats.org/officeDocument/2006/relationships/worksheet" Target="/xl/worksheets/sheet1.xml" Id="Rbfdc0186da2a4b43" /><Relationship Type="http://schemas.openxmlformats.org/officeDocument/2006/relationships/worksheet" Target="/xl/worksheets/sheet2.xml" Id="R4fd581b8e70b48b1" /><Relationship Type="http://schemas.openxmlformats.org/officeDocument/2006/relationships/worksheet" Target="/xl/worksheets/sheet3.xml" Id="Rd3224712a2694c55" /><Relationship Type="http://schemas.openxmlformats.org/officeDocument/2006/relationships/worksheet" Target="/xl/worksheets/sheet4.xml" Id="R9a2eb6a6a0fe4a09" /><Relationship Type="http://schemas.openxmlformats.org/officeDocument/2006/relationships/worksheet" Target="/xl/worksheets/sheet5.xml" Id="R0172abada51a4b12" /><Relationship Type="http://schemas.openxmlformats.org/officeDocument/2006/relationships/worksheet" Target="/xl/worksheets/sheet6.xml" Id="R17e0312b2f374cca" /><Relationship Type="http://schemas.openxmlformats.org/officeDocument/2006/relationships/worksheet" Target="/xl/worksheets/sheet7.xml" Id="R3070451fcb134ab0" /><Relationship Type="http://schemas.openxmlformats.org/officeDocument/2006/relationships/worksheet" Target="/xl/worksheets/sheet8.xml" Id="Rcf09a4da05d84079" /><Relationship Type="http://schemas.openxmlformats.org/officeDocument/2006/relationships/worksheet" Target="/xl/worksheets/sheet9.xml" Id="R0eb068b0c35248ab" /><Relationship Type="http://schemas.openxmlformats.org/officeDocument/2006/relationships/worksheet" Target="/xl/worksheets/sheet10.xml" Id="Rf055fbfed8f24bde" /><Relationship Type="http://schemas.openxmlformats.org/officeDocument/2006/relationships/worksheet" Target="/xl/worksheets/sheet11.xml" Id="R4c582a8149ae4fb3" /><Relationship Type="http://schemas.openxmlformats.org/officeDocument/2006/relationships/worksheet" Target="/xl/worksheets/sheet12.xml" Id="R922eceff54724bde" /><Relationship Type="http://schemas.openxmlformats.org/officeDocument/2006/relationships/worksheet" Target="/xl/worksheets/sheet13.xml" Id="R76a7af78fe664ad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d26b0824b3e442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Illustrative investment by case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Investment</c:v>
          </c:tx>
          <c:cat>
            <c:strRef>
              <c:f>'Dashboard'!$J$5:$J$9</c:f>
              <c:strCache>
                <c:ptCount val="0"/>
              </c:strCache>
            </c:strRef>
          </c:cat>
          <c:val>
            <c:numRef>
              <c:f>'Dashboard'!$K$5:$K$9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26b0824b3e442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3" name="DashboardControlTable" displayName="DashboardControlTable" ref="A11:H16" headerRowCount="1" totalsRowCount="0" totalsRowShown="0">
  <x:tableColumns count="8">
    <x:tableColumn id="1" name="Domain"/>
    <x:tableColumn id="2" name="Current state"/>
    <x:tableColumn id="3" name="Decision rule"/>
    <x:tableColumn id="4" name="Owner"/>
    <x:tableColumn id="5" name="Evidence source"/>
    <x:tableColumn id="6" name="Evidence class"/>
    <x:tableColumn id="7" name="Confidence"/>
    <x:tableColumn id="8" name="Next review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InstructionsTable" displayName="InstructionsTable" ref="A4:D9" headerRowCount="1" totalsRowCount="0" totalsRowShown="0">
  <x:tableColumns count="4">
    <x:tableColumn id="1" name="Step"/>
    <x:tableColumn id="2" name="Action"/>
    <x:tableColumn id="3" name="Control"/>
    <x:tableColumn id="4" name="Owner / 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AssumptionsTable" displayName="AssumptionsTable" ref="A4:J7" headerRowCount="1" totalsRowCount="0" totalsRowShown="0">
  <x:tableColumns count="10">
    <x:tableColumn id="1" name="Assumption ID"/>
    <x:tableColumn id="2" name="Variable"/>
    <x:tableColumn id="3" name="Value"/>
    <x:tableColumn id="4" name="Unit"/>
    <x:tableColumn id="5" name="Evidence class"/>
    <x:tableColumn id="6" name="Confidence"/>
    <x:tableColumn id="7" name="Source / validation"/>
    <x:tableColumn id="8" name="Owner"/>
    <x:tableColumn id="9" name="Review date"/>
    <x:tableColumn id="10" name="St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PortfolioTable" displayName="PortfolioTable" ref="A4:J9" headerRowCount="1" totalsRowCount="0" totalsRowShown="0">
  <x:tableColumns count="10">
    <x:tableColumn id="1" name="Case ID"/>
    <x:tableColumn id="2" name="Case"/>
    <x:tableColumn id="3" name="Lifecycle"/>
    <x:tableColumn id="4" name="Investment"/>
    <x:tableColumn id="5" name="NPV / contribution"/>
    <x:tableColumn id="6" name="Economic gate"/>
    <x:tableColumn id="7" name="Status"/>
    <x:tableColumn id="8" name="Evidence class"/>
    <x:tableColumn id="9" name="Confidence"/>
    <x:tableColumn id="10" name="Source / valid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ScheduleTable" displayName="ScheduleTable" ref="A4:M9" headerRowCount="1" totalsRowCount="0" totalsRowShown="0">
  <x:tableColumns count="13">
    <x:tableColumn id="1" name="Activity ID"/>
    <x:tableColumn id="2" name="Workstream"/>
    <x:tableColumn id="3" name="Activity"/>
    <x:tableColumn id="4" name="Owner"/>
    <x:tableColumn id="5" name="Start"/>
    <x:tableColumn id="6" name="Finish"/>
    <x:tableColumn id="7" name="Predecessor"/>
    <x:tableColumn id="8" name="Gate"/>
    <x:tableColumn id="9" name="% complete"/>
    <x:tableColumn id="10" name="Status"/>
    <x:tableColumn id="11" name="Evidence class"/>
    <x:tableColumn id="12" name="Confidence"/>
    <x:tableColumn id="13" name="Source / valid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RaidTable" displayName="RaidTable" ref="A4:N7" headerRowCount="1" totalsRowCount="0" totalsRowShown="0">
  <x:tableColumns count="14">
    <x:tableColumn id="1" name="RAID ID"/>
    <x:tableColumn id="2" name="Type"/>
    <x:tableColumn id="3" name="Statement"/>
    <x:tableColumn id="4" name="Probability"/>
    <x:tableColumn id="5" name="Impact"/>
    <x:tableColumn id="6" name="Score"/>
    <x:tableColumn id="7" name="Response"/>
    <x:tableColumn id="8" name="Owner"/>
    <x:tableColumn id="9" name="Due"/>
    <x:tableColumn id="10" name="Status"/>
    <x:tableColumn id="11" name="Trigger"/>
    <x:tableColumn id="12" name="Evidence class"/>
    <x:tableColumn id="13" name="Confidence"/>
    <x:tableColumn id="14" name="Source / valid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RequirementsTable" displayName="RequirementsTable" ref="A4:L7" headerRowCount="1" totalsRowCount="0" totalsRowShown="0">
  <x:tableColumns count="12">
    <x:tableColumn id="1" name="Requirement ID"/>
    <x:tableColumn id="2" name="Requirement"/>
    <x:tableColumn id="3" name="Method"/>
    <x:tableColumn id="4" name="Test case"/>
    <x:tableColumn id="5" name="Threshold"/>
    <x:tableColumn id="6" name="Result"/>
    <x:tableColumn id="7" name="Status"/>
    <x:tableColumn id="8" name="Evidence location"/>
    <x:tableColumn id="9" name="Owner"/>
    <x:tableColumn id="10" name="Evidence class"/>
    <x:tableColumn id="11" name="Confidence"/>
    <x:tableColumn id="12" name="Source / valida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BudgetTable" displayName="BudgetTable" ref="A4:L8" headerRowCount="1" totalsRowCount="0" totalsRowShown="0">
  <x:tableColumns count="12">
    <x:tableColumn id="1" name="Cost ID"/>
    <x:tableColumn id="2" name="Category"/>
    <x:tableColumn id="3" name="Item"/>
    <x:tableColumn id="4" name="Quantity"/>
    <x:tableColumn id="5" name="Unit cost"/>
    <x:tableColumn id="6" name="Total cost"/>
    <x:tableColumn id="7" name="Timing"/>
    <x:tableColumn id="8" name="Owner"/>
    <x:tableColumn id="9" name="Actual / forecast"/>
    <x:tableColumn id="10" name="Evidence class"/>
    <x:tableColumn id="11" name="Confidence"/>
    <x:tableColumn id="12" name="Source / validat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BenefitsTable" displayName="BenefitsTable" ref="A4:M7" headerRowCount="1" totalsRowCount="0" totalsRowShown="0">
  <x:tableColumns count="13">
    <x:tableColumn id="1" name="Benefit ID"/>
    <x:tableColumn id="2" name="Outcome"/>
    <x:tableColumn id="3" name="Metric"/>
    <x:tableColumn id="4" name="Baseline"/>
    <x:tableColumn id="5" name="Target"/>
    <x:tableColumn id="6" name="Measurement method"/>
    <x:tableColumn id="7" name="Frequency"/>
    <x:tableColumn id="8" name="Owner"/>
    <x:tableColumn id="9" name="Start"/>
    <x:tableColumn id="10" name="Status"/>
    <x:tableColumn id="11" name="Evidence class"/>
    <x:tableColumn id="12" name="Confidence"/>
    <x:tableColumn id="13" name="Source / valida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EvidenceTable" displayName="EvidenceTable" ref="A4:K7" headerRowCount="1" totalsRowCount="0" totalsRowShown="0">
  <x:tableColumns count="11">
    <x:tableColumn id="1" name="Evidence ID"/>
    <x:tableColumn id="2" name="Claim / control"/>
    <x:tableColumn id="3" name="Evidence type"/>
    <x:tableColumn id="4" name="Location"/>
    <x:tableColumn id="5" name="Record owner"/>
    <x:tableColumn id="6" name="Approver"/>
    <x:tableColumn id="7" name="Review date"/>
    <x:tableColumn id="8" name="Approval state"/>
    <x:tableColumn id="9" name="Evidence class"/>
    <x:tableColumn id="10" name="Confidence"/>
    <x:tableColumn id="11" name="Source / validati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StakeholdersTable" displayName="StakeholdersTable" ref="A4:K7" headerRowCount="1" totalsRowCount="0" totalsRowShown="0">
  <x:tableColumns count="11">
    <x:tableColumn id="1" name="Stakeholder"/>
    <x:tableColumn id="2" name="Role"/>
    <x:tableColumn id="3" name="Influence"/>
    <x:tableColumn id="4" name="Impact"/>
    <x:tableColumn id="5" name="Decision right"/>
    <x:tableColumn id="6" name="Information need"/>
    <x:tableColumn id="7" name="Channel / cadence"/>
    <x:tableColumn id="8" name="Owner"/>
    <x:tableColumn id="9" name="Evidence class"/>
    <x:tableColumn id="10" name="Confidence"/>
    <x:tableColumn id="11" name="Source / validat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1" name="VendorsTable" displayName="VendorsTable" ref="A4:J7" headerRowCount="1" totalsRowCount="0" totalsRowShown="0">
  <x:tableColumns count="10">
    <x:tableColumn id="1" name="Vendor / item"/>
    <x:tableColumn id="2" name="Control area"/>
    <x:tableColumn id="3" name="Requirement"/>
    <x:tableColumn id="4" name="Evidence due"/>
    <x:tableColumn id="5" name="Owner"/>
    <x:tableColumn id="6" name="Status"/>
    <x:tableColumn id="7" name="Commercial exposure"/>
    <x:tableColumn id="8" name="Evidence class"/>
    <x:tableColumn id="9" name="Confidence"/>
    <x:tableColumn id="10" name="Source / validation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2" name="GateLogTable" displayName="GateLogTable" ref="A4:K9" headerRowCount="1" totalsRowCount="0" totalsRowShown="0">
  <x:tableColumns count="11">
    <x:tableColumn id="1" name="Gate"/>
    <x:tableColumn id="2" name="Decision date"/>
    <x:tableColumn id="3" name="Decision"/>
    <x:tableColumn id="4" name="Decision owner"/>
    <x:tableColumn id="5" name="Criteria summary"/>
    <x:tableColumn id="6" name="Conditions"/>
    <x:tableColumn id="7" name="Closure due"/>
    <x:tableColumn id="8" name="Evidence package"/>
    <x:tableColumn id="9" name="Evidence class"/>
    <x:tableColumn id="10" name="Confidence"/>
    <x:tableColumn id="11" name="Source / vali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c5654ea7ae94fa5" /><Relationship Type="http://schemas.openxmlformats.org/officeDocument/2006/relationships/table" Target="/xl/tables/table1.xml" Id="R093e34ea1de3481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5bb2aa730a74f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164b99451f649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ebb52bfe54b44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03c6fc7b7be4e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a59b6b84ac846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ba3cf41135348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c8efff5d380409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db2b67dcdc840d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b9ed0dc34514f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45e452bed4ba47f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f3c97b676f2b4e7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1aed1a4968bc48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22" hidden="0" customWidth="1"/>
    <x:col min="4" max="4" width="22" hidden="0" customWidth="1"/>
    <x:col min="5" max="5" width="28" hidden="0" customWidth="1"/>
    <x:col min="6" max="6" width="18" hidden="0" customWidth="1"/>
    <x:col min="7" max="7" width="24" hidden="0" customWidth="1"/>
    <x:col min="8" max="8" width="18" hidden="0" customWidth="1"/>
    <x:col min="10" max="10" width="14" hidden="0" customWidth="1"/>
    <x:col min="11" max="11" width="14" hidden="0" customWidth="1"/>
  </x:cols>
  <x:sheetData>
    <x:row r="1" ht="30" customHeight="1">
      <x:c r="A1" s="3" t="str">
        <x:v>Robotics PM Operating System — Integrated Dashboard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7" t="str">
        <x:v>Evidence-confidence key: PB-H = public benchmark/high; PB-M = public benchmark/medium; RBE-M = research-based estimate/medium; SA-L = scenario assumption/low; DC-L = derived calculation/low; UPV = unverified production value.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37" t="str">
        <x:v>PROGRAM CONTROL</x:v>
      </x:c>
      <x:c r="B4" s="37" t="str">
        <x:v>VALUE</x:v>
      </x:c>
      <x:c r="D4" s="37" t="str">
        <x:v>ASSURANCE</x:v>
      </x:c>
      <x:c r="E4" s="37" t="str">
        <x:v>VALUE</x:v>
      </x:c>
      <x:c r="G4" s="37" t="str">
        <x:v>FINANCE / BENEFIT</x:v>
      </x:c>
      <x:c r="H4" s="37" t="str">
        <x:v>VALUE</x:v>
      </x:c>
      <x:c r="J4" t="str">
        <x:v>Case</x:v>
      </x:c>
      <x:c r="K4" t="str">
        <x:v>Investment</x:v>
      </x:c>
    </x:row>
    <x:row r="5">
      <x:c r="A5" s="40" t="str">
        <x:v>Portfolio cases</x:v>
      </x:c>
      <x:c r="B5" s="46" t="n">
        <x:f>COUNTA(Portfolio!A5:A9)</x:f>
        <x:v>5</x:v>
      </x:c>
      <x:c r="C5" s="41"/>
      <x:c r="D5" s="41" t="str">
        <x:v>Pending evidence</x:v>
      </x:c>
      <x:c r="E5" s="46" t="n">
        <x:f>COUNTIF(Evidence!H5:H100,"Pending")</x:f>
        <x:v>3</x:v>
      </x:c>
      <x:c r="F5" s="41"/>
      <x:c r="G5" s="41" t="str">
        <x:v>Illustrative TCO</x:v>
      </x:c>
      <x:c r="H5" s="48" t="n">
        <x:f>SUM(Budget_TCO!F5:F8)</x:f>
        <x:v>568400</x:v>
      </x:c>
      <x:c r="J5" t="str">
        <x:f>Portfolio!A5</x:f>
        <x:v>CASE-01</x:v>
      </x:c>
      <x:c r="K5" t="n">
        <x:f>Portfolio!D5</x:f>
        <x:v>672000</x:v>
      </x:c>
    </x:row>
    <x:row r="6">
      <x:c r="A6" s="43" t="str">
        <x:v>Open RAID items</x:v>
      </x:c>
      <x:c r="B6" s="47" t="n">
        <x:f>COUNTIF(RAID!J5:J100,"Open")</x:f>
        <x:v>3</x:v>
      </x:c>
      <x:c r="C6" s="44"/>
      <x:c r="D6" s="44" t="str">
        <x:v>Passed requirements</x:v>
      </x:c>
      <x:c r="E6" s="47" t="n">
        <x:f>COUNTIF(Requirements!G5:G100,"Passed")</x:f>
        <x:v>0</x:v>
      </x:c>
      <x:c r="F6" s="44"/>
      <x:c r="G6" s="44" t="str">
        <x:v>Portfolio investment</x:v>
      </x:c>
      <x:c r="H6" s="49" t="n">
        <x:f>SUM(Portfolio!D5:D9)</x:f>
        <x:v>4789234</x:v>
      </x:c>
      <x:c r="J6" t="str">
        <x:f>Portfolio!A6</x:f>
        <x:v>CASE-02</x:v>
      </x:c>
      <x:c r="K6" t="n">
        <x:f>Portfolio!D6</x:f>
        <x:v>527000</x:v>
      </x:c>
    </x:row>
    <x:row r="7">
      <x:c r="A7" s="43" t="str">
        <x:v>Blocked schedule items</x:v>
      </x:c>
      <x:c r="B7" s="47" t="n">
        <x:f>COUNTIF(Schedule!J5:J100,"Blocked")</x:f>
        <x:v>0</x:v>
      </x:c>
      <x:c r="C7" s="44"/>
      <x:c r="D7" s="44" t="str">
        <x:v>Failed requirements</x:v>
      </x:c>
      <x:c r="E7" s="47" t="n">
        <x:f>COUNTIF(Requirements!G5:G100,"Failed")</x:f>
        <x:v>0</x:v>
      </x:c>
      <x:c r="F7" s="44"/>
      <x:c r="G7" s="44" t="str">
        <x:v>Positive NPV / contribution</x:v>
      </x:c>
      <x:c r="H7" s="49" t="n">
        <x:f>SUMIF(Portfolio!E5:E9,"&gt;0",Portfolio!E5:E9)</x:f>
        <x:v>697375</x:v>
      </x:c>
      <x:c r="J7" t="str">
        <x:f>Portfolio!A7</x:f>
        <x:v>CASE-03</x:v>
      </x:c>
      <x:c r="K7" t="n">
        <x:f>Portfolio!D7</x:f>
        <x:v>2397234</x:v>
      </x:c>
    </x:row>
    <x:row r="8">
      <x:c r="A8" s="43" t="str">
        <x:v>Pending gates</x:v>
      </x:c>
      <x:c r="B8" s="47" t="n">
        <x:f>COUNTIF(Gate_Log!C5:C100,"Pending")</x:f>
        <x:v>5</x:v>
      </x:c>
      <x:c r="C8" s="44"/>
      <x:c r="D8" s="44" t="str">
        <x:v>Unverified evidence</x:v>
      </x:c>
      <x:c r="E8" s="47" t="n">
        <x:f>COUNTIF(Evidence!J5:J100,"Unverified")</x:f>
        <x:v>2</x:v>
      </x:c>
      <x:c r="F8" s="44"/>
      <x:c r="G8" s="44" t="str">
        <x:v>Benefit records</x:v>
      </x:c>
      <x:c r="H8" s="50" t="n">
        <x:f>COUNTA(Benefits!A5:A100)</x:f>
        <x:v>3</x:v>
      </x:c>
      <x:c r="J8" t="str">
        <x:f>Portfolio!A8</x:f>
        <x:v>CASE-04</x:v>
      </x:c>
      <x:c r="K8" t="n">
        <x:f>Portfolio!D8</x:f>
        <x:v>678000</x:v>
      </x:c>
    </x:row>
    <x:row r="9">
      <x:c r="J9" t="str">
        <x:f>Portfolio!A9</x:f>
        <x:v>CASE-05</x:v>
      </x:c>
      <x:c r="K9" t="n">
        <x:f>Portfolio!D9</x:f>
        <x:v>515000</x:v>
      </x:c>
    </x:row>
    <x:row r="10" ht="28" customHeight="1">
      <x:c r="A10" s="53" t="str">
        <x:v>Table 1. Executive control summary — Evidence: linked source-register formulas [DC-L]; Confidence: low until source records are approved</x:v>
      </x:c>
      <x:c r="B10" s="53"/>
      <x:c r="C10" s="53"/>
      <x:c r="D10" s="53"/>
      <x:c r="E10" s="53"/>
      <x:c r="F10" s="53"/>
      <x:c r="G10" s="53"/>
      <x:c r="H10" s="53"/>
    </x:row>
    <x:row r="11">
      <x:c r="A11" s="57" t="str">
        <x:v>Domain</x:v>
      </x:c>
      <x:c r="B11" s="58" t="str">
        <x:v>Current state</x:v>
      </x:c>
      <x:c r="C11" s="58" t="str">
        <x:v>Decision rule</x:v>
      </x:c>
      <x:c r="D11" s="58" t="str">
        <x:v>Owner</x:v>
      </x:c>
      <x:c r="E11" s="58" t="str">
        <x:v>Evidence source</x:v>
      </x:c>
      <x:c r="F11" s="58" t="str">
        <x:v>Evidence class</x:v>
      </x:c>
      <x:c r="G11" s="58" t="str">
        <x:v>Confidence</x:v>
      </x:c>
      <x:c r="H11" s="59" t="str">
        <x:v>Next review</x:v>
      </x:c>
    </x:row>
    <x:row r="12">
      <x:c r="A12" s="22" t="str">
        <x:v>Program</x:v>
      </x:c>
      <x:c r="B12" s="23" t="str">
        <x:v>Conditional</x:v>
      </x:c>
      <x:c r="C12" s="23" t="str">
        <x:v>No critical dependency may cross a gate unresolved</x:v>
      </x:c>
      <x:c r="D12" s="23" t="str">
        <x:v>Program Lead</x:v>
      </x:c>
      <x:c r="E12" s="23" t="str">
        <x:v>Schedule + RAID</x:v>
      </x:c>
      <x:c r="F12" s="23" t="str">
        <x:v>DC-L</x:v>
      </x:c>
      <x:c r="G12" s="23" t="str">
        <x:v>Low</x:v>
      </x:c>
      <x:c r="H12" s="24" t="str">
        <x:v>Weekly</x:v>
      </x:c>
    </x:row>
    <x:row r="13">
      <x:c r="A13" s="22" t="str">
        <x:v>Safety</x:v>
      </x:c>
      <x:c r="B13" s="23" t="str">
        <x:v>Pending evidence</x:v>
      </x:c>
      <x:c r="C13" s="23" t="str">
        <x:v>No release without signed acceptance</x:v>
      </x:c>
      <x:c r="D13" s="23" t="str">
        <x:v>Safety Lead</x:v>
      </x:c>
      <x:c r="E13" s="23" t="str">
        <x:v>Requirements + Evidence</x:v>
      </x:c>
      <x:c r="F13" s="23" t="str">
        <x:v>UPV</x:v>
      </x:c>
      <x:c r="G13" s="23" t="str">
        <x:v>Unverified</x:v>
      </x:c>
      <x:c r="H13" s="24" t="str">
        <x:v>Per gate</x:v>
      </x:c>
    </x:row>
    <x:row r="14">
      <x:c r="A14" s="22" t="str">
        <x:v>Finance</x:v>
      </x:c>
      <x:c r="B14" s="23" t="str">
        <x:v>Illustrative</x:v>
      </x:c>
      <x:c r="C14" s="23" t="str">
        <x:v>Reconcile quotes, TCO, benefit, and sensitivity</x:v>
      </x:c>
      <x:c r="D14" s="23" t="str">
        <x:v>Finance Lead</x:v>
      </x:c>
      <x:c r="E14" s="23" t="str">
        <x:v>Budget_TCO + Assumptions</x:v>
      </x:c>
      <x:c r="F14" s="23" t="str">
        <x:v>RBE-M/DC-L</x:v>
      </x:c>
      <x:c r="G14" s="23" t="str">
        <x:v>Low</x:v>
      </x:c>
      <x:c r="H14" s="24" t="str">
        <x:v>Monthly</x:v>
      </x:c>
    </x:row>
    <x:row r="15">
      <x:c r="A15" s="22" t="str">
        <x:v>Service</x:v>
      </x:c>
      <x:c r="B15" s="23" t="str">
        <x:v>Design baseline</x:v>
      </x:c>
      <x:c r="C15" s="23" t="str">
        <x:v>Support, spares, telemetry, and rollback ready</x:v>
      </x:c>
      <x:c r="D15" s="23" t="str">
        <x:v>Service Lead</x:v>
      </x:c>
      <x:c r="E15" s="23" t="str">
        <x:v>Evidence + Vendors</x:v>
      </x:c>
      <x:c r="F15" s="23" t="str">
        <x:v>SA-L</x:v>
      </x:c>
      <x:c r="G15" s="23" t="str">
        <x:v>Low</x:v>
      </x:c>
      <x:c r="H15" s="24" t="str">
        <x:v>Weekly</x:v>
      </x:c>
    </x:row>
    <x:row r="16">
      <x:c r="A16" s="22" t="str">
        <x:v>Customer</x:v>
      </x:c>
      <x:c r="B16" s="23" t="str">
        <x:v>Acceptance pending</x:v>
      </x:c>
      <x:c r="C16" s="23" t="str">
        <x:v>Signed UAT and limitation acknowledgement</x:v>
      </x:c>
      <x:c r="D16" s="23" t="str">
        <x:v>Customer Owner</x:v>
      </x:c>
      <x:c r="E16" s="23" t="str">
        <x:v>Requirements + Gate_Log</x:v>
      </x:c>
      <x:c r="F16" s="23" t="str">
        <x:v>UPV</x:v>
      </x:c>
      <x:c r="G16" s="23" t="str">
        <x:v>Unverified</x:v>
      </x:c>
      <x:c r="H16" s="24" t="str">
        <x:v>Per gate</x:v>
      </x:c>
    </x:row>
  </x:sheetData>
  <x:mergeCells>
    <x:mergeCell ref="A1:L1"/>
    <x:mergeCell ref="A2:L2"/>
    <x:mergeCell ref="A10:H10"/>
  </x:mergeCells>
  <x:pageMargins left="0.7" right="0.7" top="0.75" bottom="0.75" header="0.3" footer="0.3"/>
  <x:drawing xmlns:r="http://schemas.openxmlformats.org/officeDocument/2006/relationships" r:id="R8c5654ea7ae94fa5"/>
  <x:tableParts count="1">
    <x:tablePart xmlns:r="http://schemas.openxmlformats.org/officeDocument/2006/relationships" r:id="R093e34ea1de3481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38" hidden="0" customWidth="1"/>
    <x:col min="4" max="4" width="28" hidden="0" customWidth="1"/>
  </x:cols>
  <x:sheetData>
    <x:row r="1" ht="30" customHeight="1">
      <x:c r="A1" s="3" t="str">
        <x:v>Table 1. Workbook instructions — Evidence: operating pattern [SA-L]; Confidence: low</x:v>
      </x:c>
      <x:c r="B1" s="3"/>
      <x:c r="C1" s="3"/>
      <x:c r="D1" s="3"/>
    </x:row>
    <x:row r="2" ht="28" customHeight="1">
      <x:c r="A2" s="7" t="str">
        <x:v>Evidence-confidence key: PB-H = public benchmark/high; PB-M = public benchmark/medium; RBE-M = research-based estimate/medium; SA-L = scenario assumption/low; DC-L = derived calculation/low; UPV = unverified production value.</x:v>
      </x:c>
      <x:c r="B2" s="7"/>
      <x:c r="C2" s="7"/>
      <x:c r="D2" s="7"/>
    </x:row>
    <x:row r="4" ht="30" customHeight="1">
      <x:c r="A4" s="11" t="str">
        <x:v>Step</x:v>
      </x:c>
      <x:c r="B4" s="11" t="str">
        <x:v>Action</x:v>
      </x:c>
      <x:c r="C4" s="11" t="str">
        <x:v>Control</x:v>
      </x:c>
      <x:c r="D4" s="11" t="str">
        <x:v>Owner / evidence</x:v>
      </x:c>
    </x:row>
    <x:row r="5">
      <x:c r="A5" s="25" t="n">
        <x:v>1</x:v>
      </x:c>
      <x:c r="B5" s="26" t="str">
        <x:v>Copy this workbook into a controlled program folder and assign a program owner.</x:v>
      </x:c>
      <x:c r="C5" s="26" t="str">
        <x:v>Do not use the example values as commitments.</x:v>
      </x:c>
      <x:c r="D5" s="27" t="str">
        <x:v>Named program owner [UPV]</x:v>
      </x:c>
    </x:row>
    <x:row r="6">
      <x:c r="A6" s="28" t="n">
        <x:v>2</x:v>
      </x:c>
      <x:c r="B6" s="29" t="str">
        <x:v>Replace every example row and [ENTER] field with approved project records.</x:v>
      </x:c>
      <x:c r="C6" s="29" t="str">
        <x:v>Preserve identifiers across all sheets.</x:v>
      </x:c>
      <x:c r="D6" s="30" t="str">
        <x:v>Source-system exports [UPV]</x:v>
      </x:c>
    </x:row>
    <x:row r="7">
      <x:c r="A7" s="28" t="n">
        <x:v>3</x:v>
      </x:c>
      <x:c r="B7" s="29" t="str">
        <x:v>Update source registers first; dashboard formulas summarize them.</x:v>
      </x:c>
      <x:c r="C7" s="29" t="str">
        <x:v>Never type over dashboard formulas.</x:v>
      </x:c>
      <x:c r="D7" s="30" t="str">
        <x:v>Weekly reconciliation [UPV]</x:v>
      </x:c>
    </x:row>
    <x:row r="8">
      <x:c r="A8" s="28" t="n">
        <x:v>4</x:v>
      </x:c>
      <x:c r="B8" s="29" t="str">
        <x:v>Attach source location, evidence class, and confidence to material facts.</x:v>
      </x:c>
      <x:c r="C8" s="29" t="str">
        <x:v>UPV blocks a release or financial commitment.</x:v>
      </x:c>
      <x:c r="D8" s="30" t="str">
        <x:v>Evidence owner [UPV]</x:v>
      </x:c>
    </x:row>
    <x:row r="9">
      <x:c r="A9" s="28" t="n">
        <x:v>5</x:v>
      </x:c>
      <x:c r="B9" s="29" t="str">
        <x:v>Export a dated evidence pack at each gate.</x:v>
      </x:c>
      <x:c r="C9" s="29" t="str">
        <x:v>Human approvers retain all decision authority.</x:v>
      </x:c>
      <x:c r="D9" s="30" t="str">
        <x:v>Signed gate log [UPV]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e5bb2aa730a74f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2" hidden="0" customWidth="1"/>
    <x:col min="4" max="4" width="14" hidden="0" customWidth="1"/>
    <x:col min="5" max="5" width="16" hidden="0" customWidth="1"/>
    <x:col min="6" max="6" width="14" hidden="0" customWidth="1"/>
    <x:col min="7" max="7" width="42" hidden="0" customWidth="1"/>
    <x:col min="8" max="8" width="18" hidden="0" customWidth="1"/>
    <x:col min="9" max="9" width="15" hidden="0" customWidth="1"/>
    <x:col min="10" max="10" width="14" hidden="0" customWidth="1"/>
  </x:cols>
  <x:sheetData>
    <x:row r="1" ht="30" customHeight="1">
      <x:c r="A1" s="3" t="str">
        <x:v>Table 1. Assumptions and source controls — Evidence: example entries [SA-L/RBE-M]; Confidence: low/medium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8" customHeight="1">
      <x:c r="A2" s="7" t="str">
        <x:v>Evidence-confidence key: PB-H = public benchmark/high; PB-M = public benchmark/medium; RBE-M = research-based estimate/medium; SA-L = scenario assumption/low; DC-L = derived calculation/low; UPV = unverified production value.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11" t="str">
        <x:v>Assumption ID</x:v>
      </x:c>
      <x:c r="B4" s="11" t="str">
        <x:v>Variable</x:v>
      </x:c>
      <x:c r="C4" s="11" t="str">
        <x:v>Value</x:v>
      </x:c>
      <x:c r="D4" s="11" t="str">
        <x:v>Unit</x:v>
      </x:c>
      <x:c r="E4" s="11" t="str">
        <x:v>Evidence class</x:v>
      </x:c>
      <x:c r="F4" s="11" t="str">
        <x:v>Confidence</x:v>
      </x:c>
      <x:c r="G4" s="11" t="str">
        <x:v>Source / validation</x:v>
      </x:c>
      <x:c r="H4" s="11" t="str">
        <x:v>Owner</x:v>
      </x:c>
      <x:c r="I4" s="11" t="str">
        <x:v>Review date</x:v>
      </x:c>
      <x:c r="J4" s="11" t="str">
        <x:v>State</x:v>
      </x:c>
    </x:row>
    <x:row r="5">
      <x:c r="A5" s="25" t="str">
        <x:v>ASM-001</x:v>
      </x:c>
      <x:c r="B5" s="26" t="str">
        <x:v>Discount rate</x:v>
      </x:c>
      <x:c r="C5" s="31" t="n">
        <x:v>0.08</x:v>
      </x:c>
      <x:c r="D5" s="26" t="str">
        <x:v>annual</x:v>
      </x:c>
      <x:c r="E5" s="26" t="str">
        <x:v>SA-L</x:v>
      </x:c>
      <x:c r="F5" s="26" t="str">
        <x:v>Low</x:v>
      </x:c>
      <x:c r="G5" s="26" t="str">
        <x:v>Replace with finance-approved hurdle rate</x:v>
      </x:c>
      <x:c r="H5" s="26" t="str">
        <x:v>Finance Lead</x:v>
      </x:c>
      <x:c r="I5" s="26" t="str">
        <x:v>2026-09-04</x:v>
      </x:c>
      <x:c r="J5" s="27" t="str">
        <x:v>Open</x:v>
      </x:c>
    </x:row>
    <x:row r="6">
      <x:c r="A6" s="28" t="str">
        <x:v>ASM-002</x:v>
      </x:c>
      <x:c r="B6" s="29" t="str">
        <x:v>Robot useful life</x:v>
      </x:c>
      <x:c r="C6" s="32" t="n">
        <x:v>5</x:v>
      </x:c>
      <x:c r="D6" s="29" t="str">
        <x:v>years</x:v>
      </x:c>
      <x:c r="E6" s="29" t="str">
        <x:v>RBE-M</x:v>
      </x:c>
      <x:c r="F6" s="29" t="str">
        <x:v>Medium</x:v>
      </x:c>
      <x:c r="G6" s="29" t="str">
        <x:v>Validate with supplier warranty and reliability data</x:v>
      </x:c>
      <x:c r="H6" s="29" t="str">
        <x:v>Service Lead</x:v>
      </x:c>
      <x:c r="I6" s="29" t="str">
        <x:v>2026-09-18</x:v>
      </x:c>
      <x:c r="J6" s="30" t="str">
        <x:v>Open</x:v>
      </x:c>
    </x:row>
    <x:row r="7">
      <x:c r="A7" s="28" t="str">
        <x:v>ASM-003</x:v>
      </x:c>
      <x:c r="B7" s="29" t="str">
        <x:v>Productive utilization</x:v>
      </x:c>
      <x:c r="C7" s="32" t="n">
        <x:v>1200</x:v>
      </x:c>
      <x:c r="D7" s="29" t="str">
        <x:v>hours/year</x:v>
      </x:c>
      <x:c r="E7" s="29" t="str">
        <x:v>SA-L</x:v>
      </x:c>
      <x:c r="F7" s="29" t="str">
        <x:v>Low</x:v>
      </x:c>
      <x:c r="G7" s="29" t="str">
        <x:v>Validate with pilot telemetry and approved task taxonomy</x:v>
      </x:c>
      <x:c r="H7" s="29" t="str">
        <x:v>Operations Lead</x:v>
      </x:c>
      <x:c r="I7" s="29" t="str">
        <x:v>2026-11-13</x:v>
      </x:c>
      <x:c r="J7" s="30" t="str">
        <x:v>Open</x:v>
      </x:c>
    </x:row>
  </x:sheetData>
  <x:mergeCells>
    <x:mergeCell ref="A1:J1"/>
    <x:mergeCell ref="A2:J2"/>
  </x:mergeCells>
  <x:dataValidations count="1">
    <x:dataValidation type="list" sqref="J5:J100">
      <x:formula1>"Open,Validated,Retired"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64b99451f649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8" hidden="0" customWidth="1"/>
    <x:col min="4" max="4" width="18" hidden="0" customWidth="1"/>
    <x:col min="5" max="5" width="22" hidden="0" customWidth="1"/>
    <x:col min="6" max="6" width="34" hidden="0" customWidth="1"/>
    <x:col min="7" max="7" width="16" hidden="0" customWidth="1"/>
    <x:col min="8" max="8" width="20" hidden="0" customWidth="1"/>
    <x:col min="9" max="9" width="14" hidden="0" customWidth="1"/>
    <x:col min="10" max="10" width="42" hidden="0" customWidth="1"/>
  </x:cols>
  <x:sheetData>
    <x:row r="1" ht="30" customHeight="1">
      <x:c r="A1" s="3" t="str">
        <x:v>Table 1. Robotics case portfolio — Evidence: fictional cases [SA-L/DC-L]; Confidence: low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8" customHeight="1">
      <x:c r="A2" s="7" t="str">
        <x:v>Evidence-confidence key: PB-H = public benchmark/high; PB-M = public benchmark/medium; RBE-M = research-based estimate/medium; SA-L = scenario assumption/low; DC-L = derived calculation/low; UPV = unverified production value.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11" t="str">
        <x:v>Case ID</x:v>
      </x:c>
      <x:c r="B4" s="11" t="str">
        <x:v>Case</x:v>
      </x:c>
      <x:c r="C4" s="11" t="str">
        <x:v>Lifecycle</x:v>
      </x:c>
      <x:c r="D4" s="11" t="str">
        <x:v>Investment</x:v>
      </x:c>
      <x:c r="E4" s="11" t="str">
        <x:v>NPV / contribution</x:v>
      </x:c>
      <x:c r="F4" s="11" t="str">
        <x:v>Economic gate</x:v>
      </x:c>
      <x:c r="G4" s="11" t="str">
        <x:v>Status</x:v>
      </x:c>
      <x:c r="H4" s="11" t="str">
        <x:v>Evidence class</x:v>
      </x:c>
      <x:c r="I4" s="11" t="str">
        <x:v>Confidence</x:v>
      </x:c>
      <x:c r="J4" s="11" t="str">
        <x:v>Source / validation</x:v>
      </x:c>
    </x:row>
    <x:row r="5">
      <x:c r="A5" s="25" t="str">
        <x:v>CASE-01</x:v>
      </x:c>
      <x:c r="B5" s="26" t="str">
        <x:v>Retail backroom humanoid pilot</x:v>
      </x:c>
      <x:c r="C5" s="26" t="str">
        <x:v>Deployment</x:v>
      </x:c>
      <x:c r="D5" s="33" t="n">
        <x:v>672000</x:v>
      </x:c>
      <x:c r="E5" s="33" t="n">
        <x:v>-221990</x:v>
      </x:c>
      <x:c r="F5" s="26" t="str">
        <x:v>Pilot accepted; scale held</x:v>
      </x:c>
      <x:c r="G5" s="26" t="str">
        <x:v>Complete</x:v>
      </x:c>
      <x:c r="H5" s="26" t="str">
        <x:v>SA-L/DC-L</x:v>
      </x:c>
      <x:c r="I5" s="26" t="str">
        <x:v>Low</x:v>
      </x:c>
      <x:c r="J5" s="27" t="str">
        <x:v>Case 01 business case and signed-pilot placeholders</x:v>
      </x:c>
    </x:row>
    <x:row r="6">
      <x:c r="A6" s="28" t="str">
        <x:v>CASE-02</x:v>
      </x:c>
      <x:c r="B6" s="29" t="str">
        <x:v>Quadruped night security</x:v>
      </x:c>
      <x:c r="C6" s="29" t="str">
        <x:v>Deployment</x:v>
      </x:c>
      <x:c r="D6" s="34" t="n">
        <x:v>527000</x:v>
      </x:c>
      <x:c r="E6" s="34" t="n">
        <x:v>174099</x:v>
      </x:c>
      <x:c r="F6" s="29" t="str">
        <x:v>Break-even labor rate $33.98/hour</x:v>
      </x:c>
      <x:c r="G6" s="29" t="str">
        <x:v>Complete</x:v>
      </x:c>
      <x:c r="H6" s="29" t="str">
        <x:v>PB-H/SA-L/DC-L</x:v>
      </x:c>
      <x:c r="I6" s="29" t="str">
        <x:v>Low</x:v>
      </x:c>
      <x:c r="J6" s="30" t="str">
        <x:v>BLS wage benchmark plus disclosed assumptions</x:v>
      </x:c>
    </x:row>
    <x:row r="7">
      <x:c r="A7" s="28" t="str">
        <x:v>CASE-03</x:v>
      </x:c>
      <x:c r="B7" s="29" t="str">
        <x:v>Open-source quadruped RaaS</x:v>
      </x:c>
      <x:c r="C7" s="29" t="str">
        <x:v>Productization</x:v>
      </x:c>
      <x:c r="D7" s="34" t="n">
        <x:v>2397234</x:v>
      </x:c>
      <x:c r="E7" s="34" t="n">
        <x:v>26670</x:v>
      </x:c>
      <x:c r="F7" s="29" t="str">
        <x:v>48 robots recover modeled productization authorization</x:v>
      </x:c>
      <x:c r="G7" s="29" t="str">
        <x:v>Conditional</x:v>
      </x:c>
      <x:c r="H7" s="29" t="str">
        <x:v>PB-H/PB-M/SA-L/DC-L</x:v>
      </x:c>
      <x:c r="I7" s="29" t="str">
        <x:v>Low</x:v>
      </x:c>
      <x:c r="J7" s="30" t="str">
        <x:v>Glassdoor, BLS, Unitree, and disclosed assumptions</x:v>
      </x:c>
    </x:row>
    <x:row r="8">
      <x:c r="A8" s="28" t="str">
        <x:v>CASE-04</x:v>
      </x:c>
      <x:c r="B8" s="29" t="str">
        <x:v>Robotics support operations</x:v>
      </x:c>
      <x:c r="C8" s="29" t="str">
        <x:v>Service</x:v>
      </x:c>
      <x:c r="D8" s="34" t="n">
        <x:v>678000</x:v>
      </x:c>
      <x:c r="E8" s="34" t="n">
        <x:v>255600</x:v>
      </x:c>
      <x:c r="F8" s="29" t="str">
        <x:v>250 robots / 60 sites service baseline</x:v>
      </x:c>
      <x:c r="G8" s="29" t="str">
        <x:v>Complete</x:v>
      </x:c>
      <x:c r="H8" s="29" t="str">
        <x:v>SA-L/DC-L</x:v>
      </x:c>
      <x:c r="I8" s="29" t="str">
        <x:v>Low</x:v>
      </x:c>
      <x:c r="J8" s="30" t="str">
        <x:v>Synthetic data workflow and operating model</x:v>
      </x:c>
    </x:row>
    <x:row r="9">
      <x:c r="A9" s="28" t="str">
        <x:v>CASE-05</x:v>
      </x:c>
      <x:c r="B9" s="29" t="str">
        <x:v>Airport restroom humanoid pilot</x:v>
      </x:c>
      <x:c r="C9" s="29" t="str">
        <x:v>Deployment</x:v>
      </x:c>
      <x:c r="D9" s="34" t="n">
        <x:v>515000</x:v>
      </x:c>
      <x:c r="E9" s="34" t="n">
        <x:v>241006</x:v>
      </x:c>
      <x:c r="F9" s="29" t="str">
        <x:v>22.1 productive fleet hours/day</x:v>
      </x:c>
      <x:c r="G9" s="29" t="str">
        <x:v>Conditional</x:v>
      </x:c>
      <x:c r="H9" s="29" t="str">
        <x:v>PB-H/SA-L/DC-L</x:v>
      </x:c>
      <x:c r="I9" s="29" t="str">
        <x:v>Low</x:v>
      </x:c>
      <x:c r="J9" s="30" t="str">
        <x:v>BLS wage benchmark plus disclosed assumptions</x:v>
      </x:c>
    </x:row>
  </x:sheetData>
  <x:mergeCells>
    <x:mergeCell ref="A1:J1"/>
    <x:mergeCell ref="A2:J2"/>
  </x:mergeCells>
  <x:conditionalFormatting sqref="G5:G100">
    <x:cfRule type="containsText" dxfId="0" priority="1" operator="containsText" text="Hold"/>
    <x:cfRule type="containsText" dxfId="1" priority="2" operator="containsText" text="Complete"/>
  </x:conditionalFormatting>
  <x:dataValidations count="1">
    <x:dataValidation type="list" sqref="G5:G100">
      <x:formula1>"Planned,Conditional,Complete,Hold"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bb52bfe54b44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36" hidden="0" customWidth="1"/>
    <x:col min="4" max="4" width="18" hidden="0" customWidth="1"/>
    <x:col min="5" max="5" width="14" hidden="0" customWidth="1"/>
    <x:col min="6" max="6" width="14" hidden="0" customWidth="1"/>
    <x:col min="7" max="7" width="20" hidden="0" customWidth="1"/>
    <x:col min="8" max="8" width="10" hidden="0" customWidth="1"/>
    <x:col min="9" max="9" width="13" hidden="0" customWidth="1"/>
    <x:col min="10" max="10" width="16" hidden="0" customWidth="1"/>
    <x:col min="11" max="11" width="16" hidden="0" customWidth="1"/>
    <x:col min="12" max="12" width="14" hidden="0" customWidth="1"/>
    <x:col min="13" max="13" width="36" hidden="0" customWidth="1"/>
  </x:cols>
  <x:sheetData>
    <x:row r="1" ht="30" customHeight="1">
      <x:c r="A1" s="3" t="str">
        <x:v>Table 1. Integrated master schedule — Evidence: illustrative baseline [SA-L]; Confidence: low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7" t="str">
        <x:v>Evidence-confidence key: PB-H = public benchmark/high; PB-M = public benchmark/medium; RBE-M = research-based estimate/medium; SA-L = scenario assumption/low; DC-L = derived calculation/low; UPV = unverified production value.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0" customHeight="1">
      <x:c r="A4" s="11" t="str">
        <x:v>Activity ID</x:v>
      </x:c>
      <x:c r="B4" s="11" t="str">
        <x:v>Workstream</x:v>
      </x:c>
      <x:c r="C4" s="11" t="str">
        <x:v>Activity</x:v>
      </x:c>
      <x:c r="D4" s="11" t="str">
        <x:v>Owner</x:v>
      </x:c>
      <x:c r="E4" s="11" t="str">
        <x:v>Start</x:v>
      </x:c>
      <x:c r="F4" s="11" t="str">
        <x:v>Finish</x:v>
      </x:c>
      <x:c r="G4" s="11" t="str">
        <x:v>Predecessor</x:v>
      </x:c>
      <x:c r="H4" s="11" t="str">
        <x:v>Gate</x:v>
      </x:c>
      <x:c r="I4" s="11" t="str">
        <x:v>% complete</x:v>
      </x:c>
      <x:c r="J4" s="11" t="str">
        <x:v>Status</x:v>
      </x:c>
      <x:c r="K4" s="11" t="str">
        <x:v>Evidence class</x:v>
      </x:c>
      <x:c r="L4" s="11" t="str">
        <x:v>Confidence</x:v>
      </x:c>
      <x:c r="M4" s="11" t="str">
        <x:v>Source / validation</x:v>
      </x:c>
    </x:row>
    <x:row r="5">
      <x:c r="A5" s="25" t="str">
        <x:v>IMS-010</x:v>
      </x:c>
      <x:c r="B5" s="26" t="str">
        <x:v>Program</x:v>
      </x:c>
      <x:c r="C5" s="26" t="str">
        <x:v>Charter and outcome baseline</x:v>
      </x:c>
      <x:c r="D5" s="26" t="str">
        <x:v>Program Lead</x:v>
      </x:c>
      <x:c r="E5" s="26" t="str">
        <x:v>2026-08-31</x:v>
      </x:c>
      <x:c r="F5" s="26" t="str">
        <x:v>2026-09-04</x:v>
      </x:c>
      <x:c r="G5" s="26" t="str"/>
      <x:c r="H5" s="26" t="str">
        <x:v>G0</x:v>
      </x:c>
      <x:c r="I5" s="35" t="n">
        <x:v>0</x:v>
      </x:c>
      <x:c r="J5" s="26" t="str">
        <x:v>Not started</x:v>
      </x:c>
      <x:c r="K5" s="26" t="str">
        <x:v>SA-L</x:v>
      </x:c>
      <x:c r="L5" s="26" t="str">
        <x:v>Low</x:v>
      </x:c>
      <x:c r="M5" s="27" t="str">
        <x:v>Replace with approved schedule</x:v>
      </x:c>
    </x:row>
    <x:row r="6">
      <x:c r="A6" s="28" t="str">
        <x:v>IMS-020</x:v>
      </x:c>
      <x:c r="B6" s="29" t="str">
        <x:v>Safety</x:v>
      </x:c>
      <x:c r="C6" s="29" t="str">
        <x:v>Hazard analysis and thresholds</x:v>
      </x:c>
      <x:c r="D6" s="29" t="str">
        <x:v>Safety Lead</x:v>
      </x:c>
      <x:c r="E6" s="29" t="str">
        <x:v>2026-09-07</x:v>
      </x:c>
      <x:c r="F6" s="29" t="str">
        <x:v>2026-09-18</x:v>
      </x:c>
      <x:c r="G6" s="29" t="str">
        <x:v>IMS-010</x:v>
      </x:c>
      <x:c r="H6" s="29" t="str">
        <x:v>G1</x:v>
      </x:c>
      <x:c r="I6" s="36" t="n">
        <x:v>0</x:v>
      </x:c>
      <x:c r="J6" s="29" t="str">
        <x:v>Not started</x:v>
      </x:c>
      <x:c r="K6" s="29" t="str">
        <x:v>SA-L</x:v>
      </x:c>
      <x:c r="L6" s="29" t="str">
        <x:v>Low</x:v>
      </x:c>
      <x:c r="M6" s="30" t="str">
        <x:v>Signed safety plan required</x:v>
      </x:c>
    </x:row>
    <x:row r="7">
      <x:c r="A7" s="28" t="str">
        <x:v>IMS-030</x:v>
      </x:c>
      <x:c r="B7" s="29" t="str">
        <x:v>Site</x:v>
      </x:c>
      <x:c r="C7" s="29" t="str">
        <x:v>Network, facilities, and workflow readiness</x:v>
      </x:c>
      <x:c r="D7" s="29" t="str">
        <x:v>Site Lead</x:v>
      </x:c>
      <x:c r="E7" s="29" t="str">
        <x:v>2026-09-14</x:v>
      </x:c>
      <x:c r="F7" s="29" t="str">
        <x:v>2026-10-02</x:v>
      </x:c>
      <x:c r="G7" s="29" t="str">
        <x:v>IMS-010</x:v>
      </x:c>
      <x:c r="H7" s="29" t="str">
        <x:v>G2</x:v>
      </x:c>
      <x:c r="I7" s="36" t="n">
        <x:v>0</x:v>
      </x:c>
      <x:c r="J7" s="29" t="str">
        <x:v>Not started</x:v>
      </x:c>
      <x:c r="K7" s="29" t="str">
        <x:v>SA-L</x:v>
      </x:c>
      <x:c r="L7" s="29" t="str">
        <x:v>Low</x:v>
      </x:c>
      <x:c r="M7" s="30" t="str">
        <x:v>Signed readiness checklist required</x:v>
      </x:c>
    </x:row>
    <x:row r="8">
      <x:c r="A8" s="28" t="str">
        <x:v>IMS-040</x:v>
      </x:c>
      <x:c r="B8" s="29" t="str">
        <x:v>Acceptance</x:v>
      </x:c>
      <x:c r="C8" s="29" t="str">
        <x:v>FAT, SAT, and UAT execution</x:v>
      </x:c>
      <x:c r="D8" s="29" t="str">
        <x:v>Test Lead</x:v>
      </x:c>
      <x:c r="E8" s="29" t="str">
        <x:v>2026-10-05</x:v>
      </x:c>
      <x:c r="F8" s="29" t="str">
        <x:v>2026-10-16</x:v>
      </x:c>
      <x:c r="G8" s="29" t="str">
        <x:v>IMS-020; IMS-030</x:v>
      </x:c>
      <x:c r="H8" s="29" t="str">
        <x:v>G3</x:v>
      </x:c>
      <x:c r="I8" s="36" t="n">
        <x:v>0</x:v>
      </x:c>
      <x:c r="J8" s="29" t="str">
        <x:v>Not started</x:v>
      </x:c>
      <x:c r="K8" s="29" t="str">
        <x:v>SA-L</x:v>
      </x:c>
      <x:c r="L8" s="29" t="str">
        <x:v>Low</x:v>
      </x:c>
      <x:c r="M8" s="30" t="str">
        <x:v>Signed test evidence required</x:v>
      </x:c>
    </x:row>
    <x:row r="9">
      <x:c r="A9" s="28" t="str">
        <x:v>IMS-050</x:v>
      </x:c>
      <x:c r="B9" s="29" t="str">
        <x:v>Operate</x:v>
      </x:c>
      <x:c r="C9" s="29" t="str">
        <x:v>Launch, hypercare, and benefits baseline</x:v>
      </x:c>
      <x:c r="D9" s="29" t="str">
        <x:v>Operations Lead</x:v>
      </x:c>
      <x:c r="E9" s="29" t="str">
        <x:v>2026-10-19</x:v>
      </x:c>
      <x:c r="F9" s="29" t="str">
        <x:v>2026-11-13</x:v>
      </x:c>
      <x:c r="G9" s="29" t="str">
        <x:v>IMS-040</x:v>
      </x:c>
      <x:c r="H9" s="29" t="str">
        <x:v>G4</x:v>
      </x:c>
      <x:c r="I9" s="36" t="n">
        <x:v>0</x:v>
      </x:c>
      <x:c r="J9" s="29" t="str">
        <x:v>Not started</x:v>
      </x:c>
      <x:c r="K9" s="29" t="str">
        <x:v>SA-L</x:v>
      </x:c>
      <x:c r="L9" s="29" t="str">
        <x:v>Low</x:v>
      </x:c>
      <x:c r="M9" s="30" t="str">
        <x:v>Operational evidence required</x:v>
      </x:c>
    </x:row>
  </x:sheetData>
  <x:mergeCells>
    <x:mergeCell ref="A1:M1"/>
    <x:mergeCell ref="A2:M2"/>
  </x:mergeCells>
  <x:conditionalFormatting sqref="J5:J100">
    <x:cfRule type="containsText" dxfId="2" priority="1" operator="containsText" text="Blocked"/>
    <x:cfRule type="containsText" dxfId="3" priority="2" operator="containsText" text="Complete"/>
  </x:conditionalFormatting>
  <x:dataValidations count="1">
    <x:dataValidation type="list" sqref="J5:J100">
      <x:formula1>"Not started,In progress,Blocked,Complete"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3c6fc7b7be4e0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42" hidden="0" customWidth="1"/>
    <x:col min="4" max="4" width="12" hidden="0" customWidth="1"/>
    <x:col min="5" max="5" width="10" hidden="0" customWidth="1"/>
    <x:col min="6" max="6" width="10" hidden="0" customWidth="1"/>
    <x:col min="7" max="7" width="42" hidden="0" customWidth="1"/>
    <x:col min="8" max="8" width="18" hidden="0" customWidth="1"/>
    <x:col min="9" max="9" width="14" hidden="0" customWidth="1"/>
    <x:col min="10" max="10" width="14" hidden="0" customWidth="1"/>
    <x:col min="11" max="11" width="34" hidden="0" customWidth="1"/>
    <x:col min="12" max="12" width="16" hidden="0" customWidth="1"/>
    <x:col min="13" max="13" width="14" hidden="0" customWidth="1"/>
    <x:col min="14" max="14" width="38" hidden="0" customWidth="1"/>
  </x:cols>
  <x:sheetData>
    <x:row r="1" ht="30" customHeight="1">
      <x:c r="A1" s="3" t="str">
        <x:v>Table 1. RAID register — Evidence: example entries [SA-L/RBE-M]; Confidence: low/medium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7" t="str">
        <x:v>Evidence-confidence key: PB-H = public benchmark/high; PB-M = public benchmark/medium; RBE-M = research-based estimate/medium; SA-L = scenario assumption/low; DC-L = derived calculation/low; UPV = unverified production value.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0" customHeight="1">
      <x:c r="A4" s="11" t="str">
        <x:v>RAID ID</x:v>
      </x:c>
      <x:c r="B4" s="11" t="str">
        <x:v>Type</x:v>
      </x:c>
      <x:c r="C4" s="11" t="str">
        <x:v>Statement</x:v>
      </x:c>
      <x:c r="D4" s="11" t="str">
        <x:v>Probability</x:v>
      </x:c>
      <x:c r="E4" s="11" t="str">
        <x:v>Impact</x:v>
      </x:c>
      <x:c r="F4" s="11" t="str">
        <x:v>Score</x:v>
      </x:c>
      <x:c r="G4" s="11" t="str">
        <x:v>Response</x:v>
      </x:c>
      <x:c r="H4" s="11" t="str">
        <x:v>Owner</x:v>
      </x:c>
      <x:c r="I4" s="11" t="str">
        <x:v>Due</x:v>
      </x:c>
      <x:c r="J4" s="11" t="str">
        <x:v>Status</x:v>
      </x:c>
      <x:c r="K4" s="11" t="str">
        <x:v>Trigger</x:v>
      </x:c>
      <x:c r="L4" s="11" t="str">
        <x:v>Evidence class</x:v>
      </x:c>
      <x:c r="M4" s="11" t="str">
        <x:v>Confidence</x:v>
      </x:c>
      <x:c r="N4" s="11" t="str">
        <x:v>Source / validation</x:v>
      </x:c>
    </x:row>
    <x:row r="5">
      <x:c r="A5" s="25" t="str">
        <x:v>R-001</x:v>
      </x:c>
      <x:c r="B5" s="26" t="str">
        <x:v>Risk</x:v>
      </x:c>
      <x:c r="C5" s="26" t="str">
        <x:v>Unvalidated stop-distance performance may block site acceptance</x:v>
      </x:c>
      <x:c r="D5" s="26" t="n">
        <x:v>3</x:v>
      </x:c>
      <x:c r="E5" s="26" t="n">
        <x:v>5</x:v>
      </x:c>
      <x:c r="F5" s="26" t="n">
        <x:v>15</x:v>
      </x:c>
      <x:c r="G5" s="26" t="str">
        <x:v>Run controlled-zone tests; hold release pending signed evidence</x:v>
      </x:c>
      <x:c r="H5" s="26" t="str">
        <x:v>Safety Lead</x:v>
      </x:c>
      <x:c r="I5" s="26" t="str">
        <x:v>2026-10-02</x:v>
      </x:c>
      <x:c r="J5" s="26" t="str">
        <x:v>Open</x:v>
      </x:c>
      <x:c r="K5" s="26" t="str">
        <x:v>Missed stop or incomplete record</x:v>
      </x:c>
      <x:c r="L5" s="26" t="str">
        <x:v>SA-L</x:v>
      </x:c>
      <x:c r="M5" s="26" t="str">
        <x:v>Low</x:v>
      </x:c>
      <x:c r="N5" s="27" t="str">
        <x:v>Approved hazard analysis and test report required</x:v>
      </x:c>
    </x:row>
    <x:row r="6">
      <x:c r="A6" s="28" t="str">
        <x:v>A-001</x:v>
      </x:c>
      <x:c r="B6" s="29" t="str">
        <x:v>Assumption</x:v>
      </x:c>
      <x:c r="C6" s="29" t="str">
        <x:v>Customer network supports approved telemetry path</x:v>
      </x:c>
      <x:c r="D6" s="29" t="n">
        <x:v>3</x:v>
      </x:c>
      <x:c r="E6" s="29" t="n">
        <x:v>4</x:v>
      </x:c>
      <x:c r="F6" s="29" t="n">
        <x:v>12</x:v>
      </x:c>
      <x:c r="G6" s="29" t="str">
        <x:v>Validate ports, identity, retention, and fail-safe behavior</x:v>
      </x:c>
      <x:c r="H6" s="29" t="str">
        <x:v>IT Lead</x:v>
      </x:c>
      <x:c r="I6" s="29" t="str">
        <x:v>2026-09-18</x:v>
      </x:c>
      <x:c r="J6" s="29" t="str">
        <x:v>Open</x:v>
      </x:c>
      <x:c r="K6" s="29" t="str">
        <x:v>Security review or connectivity test fails</x:v>
      </x:c>
      <x:c r="L6" s="29" t="str">
        <x:v>SA-L</x:v>
      </x:c>
      <x:c r="M6" s="29" t="str">
        <x:v>Low</x:v>
      </x:c>
      <x:c r="N6" s="30" t="str">
        <x:v>Approved network design required</x:v>
      </x:c>
    </x:row>
    <x:row r="7">
      <x:c r="A7" s="28" t="str">
        <x:v>D-001</x:v>
      </x:c>
      <x:c r="B7" s="29" t="str">
        <x:v>Dependency</x:v>
      </x:c>
      <x:c r="C7" s="29" t="str">
        <x:v>Supplier ships service spares before readiness gate</x:v>
      </x:c>
      <x:c r="D7" s="29" t="n">
        <x:v>2</x:v>
      </x:c>
      <x:c r="E7" s="29" t="n">
        <x:v>4</x:v>
      </x:c>
      <x:c r="F7" s="29" t="n">
        <x:v>8</x:v>
      </x:c>
      <x:c r="G7" s="29" t="str">
        <x:v>Track confirmed date and qualify alternate source</x:v>
      </x:c>
      <x:c r="H7" s="29" t="str">
        <x:v>Supply Lead</x:v>
      </x:c>
      <x:c r="I7" s="29" t="str">
        <x:v>2026-09-25</x:v>
      </x:c>
      <x:c r="J7" s="29" t="str">
        <x:v>Open</x:v>
      </x:c>
      <x:c r="K7" s="29" t="str">
        <x:v>Arrival crosses gate date</x:v>
      </x:c>
      <x:c r="L7" s="29" t="str">
        <x:v>RBE-M</x:v>
      </x:c>
      <x:c r="M7" s="29" t="str">
        <x:v>Medium</x:v>
      </x:c>
      <x:c r="N7" s="30" t="str">
        <x:v>Confirmed shipment record required</x:v>
      </x:c>
    </x:row>
  </x:sheetData>
  <x:mergeCells>
    <x:mergeCell ref="A1:N1"/>
    <x:mergeCell ref="A2:N2"/>
  </x:mergeCells>
  <x:conditionalFormatting sqref="F5:F100">
    <x:cfRule type="containsText" dxfId="4" priority="1" operator="containsText" text="15"/>
  </x:conditionalFormatting>
  <x:conditionalFormatting sqref="J5:J100">
    <x:cfRule type="containsText" dxfId="5" priority="2" operator="containsText" text="Closed"/>
  </x:conditionalFormatting>
  <x:dataValidations count="2">
    <x:dataValidation type="list" sqref="B5:B100">
      <x:formula1>"Risk,Assumption,Issue,Dependency"</x:formula1>
    </x:dataValidation>
    <x:dataValidation type="list" sqref="J5:J100">
      <x:formula1>"Open,Watching,Closed"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59b6b84ac8463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18" hidden="0" customWidth="1"/>
    <x:col min="5" max="5" width="32" hidden="0" customWidth="1"/>
    <x:col min="6" max="6" width="14" hidden="0" customWidth="1"/>
    <x:col min="7" max="7" width="14" hidden="0" customWidth="1"/>
    <x:col min="8" max="8" width="24" hidden="0" customWidth="1"/>
    <x:col min="9" max="9" width="18" hidden="0" customWidth="1"/>
    <x:col min="10" max="10" width="16" hidden="0" customWidth="1"/>
    <x:col min="11" max="11" width="14" hidden="0" customWidth="1"/>
    <x:col min="12" max="12" width="38" hidden="0" customWidth="1"/>
  </x:cols>
  <x:sheetData>
    <x:row r="1" ht="30" customHeight="1">
      <x:c r="A1" s="3" t="str">
        <x:v>Table 1. Requirements traceability — Evidence: example requirements [SA-L/UPV]; Confidence: low/unverified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7" t="str">
        <x:v>Evidence-confidence key: PB-H = public benchmark/high; PB-M = public benchmark/medium; RBE-M = research-based estimate/medium; SA-L = scenario assumption/low; DC-L = derived calculation/low; UPV = unverified production value.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0" customHeight="1">
      <x:c r="A4" s="11" t="str">
        <x:v>Requirement ID</x:v>
      </x:c>
      <x:c r="B4" s="11" t="str">
        <x:v>Requirement</x:v>
      </x:c>
      <x:c r="C4" s="11" t="str">
        <x:v>Method</x:v>
      </x:c>
      <x:c r="D4" s="11" t="str">
        <x:v>Test case</x:v>
      </x:c>
      <x:c r="E4" s="11" t="str">
        <x:v>Threshold</x:v>
      </x:c>
      <x:c r="F4" s="11" t="str">
        <x:v>Result</x:v>
      </x:c>
      <x:c r="G4" s="11" t="str">
        <x:v>Status</x:v>
      </x:c>
      <x:c r="H4" s="11" t="str">
        <x:v>Evidence location</x:v>
      </x:c>
      <x:c r="I4" s="11" t="str">
        <x:v>Owner</x:v>
      </x:c>
      <x:c r="J4" s="11" t="str">
        <x:v>Evidence class</x:v>
      </x:c>
      <x:c r="K4" s="11" t="str">
        <x:v>Confidence</x:v>
      </x:c>
      <x:c r="L4" s="11" t="str">
        <x:v>Source / validation</x:v>
      </x:c>
    </x:row>
    <x:row r="5">
      <x:c r="A5" s="25" t="str">
        <x:v>REQ-SAF-001</x:v>
      </x:c>
      <x:c r="B5" s="26" t="str">
        <x:v>Controlled safe state after loss of approved communications</x:v>
      </x:c>
      <x:c r="C5" s="26" t="str">
        <x:v>Test</x:v>
      </x:c>
      <x:c r="D5" s="26" t="str">
        <x:v>SAT-SAF-01</x:v>
      </x:c>
      <x:c r="E5" s="26" t="str">
        <x:v>10/10 trials within approved envelope</x:v>
      </x:c>
      <x:c r="F5" s="26" t="str">
        <x:v>TBD</x:v>
      </x:c>
      <x:c r="G5" s="26" t="str">
        <x:v>Not run</x:v>
      </x:c>
      <x:c r="H5" s="26" t="str">
        <x:v>[ATTACH]</x:v>
      </x:c>
      <x:c r="I5" s="26" t="str">
        <x:v>Safety Lead</x:v>
      </x:c>
      <x:c r="J5" s="26" t="str">
        <x:v>SA-L</x:v>
      </x:c>
      <x:c r="K5" s="26" t="str">
        <x:v>Low</x:v>
      </x:c>
      <x:c r="L5" s="27" t="str">
        <x:v>Threshold and result require signed evidence</x:v>
      </x:c>
    </x:row>
    <x:row r="6">
      <x:c r="A6" s="28" t="str">
        <x:v>REQ-OPS-001</x:v>
      </x:c>
      <x:c r="B6" s="29" t="str">
        <x:v>Correlate mission to robot, software, and evidence bundle</x:v>
      </x:c>
      <x:c r="C6" s="29" t="str">
        <x:v>Demonstration</x:v>
      </x:c>
      <x:c r="D6" s="29" t="str">
        <x:v>SAT-OPS-03</x:v>
      </x:c>
      <x:c r="E6" s="29" t="str">
        <x:v>10/10 sampled missions complete</x:v>
      </x:c>
      <x:c r="F6" s="29" t="str">
        <x:v>TBD</x:v>
      </x:c>
      <x:c r="G6" s="29" t="str">
        <x:v>Not run</x:v>
      </x:c>
      <x:c r="H6" s="29" t="str">
        <x:v>[ATTACH]</x:v>
      </x:c>
      <x:c r="I6" s="29" t="str">
        <x:v>Operations Lead</x:v>
      </x:c>
      <x:c r="J6" s="29" t="str">
        <x:v>SA-L</x:v>
      </x:c>
      <x:c r="K6" s="29" t="str">
        <x:v>Low</x:v>
      </x:c>
      <x:c r="L6" s="30" t="str">
        <x:v>Replace with exported evidence</x:v>
      </x:c>
    </x:row>
    <x:row r="7">
      <x:c r="A7" s="28" t="str">
        <x:v>REQ-CYB-001</x:v>
      </x:c>
      <x:c r="B7" s="29" t="str">
        <x:v>Approved identity, least privilege, logging, and revocation</x:v>
      </x:c>
      <x:c r="C7" s="29" t="str">
        <x:v>Inspection</x:v>
      </x:c>
      <x:c r="D7" s="29" t="str">
        <x:v>SAT-CYB-02</x:v>
      </x:c>
      <x:c r="E7" s="29" t="str">
        <x:v>All controls present; no critical exception</x:v>
      </x:c>
      <x:c r="F7" s="29" t="str">
        <x:v>TBD</x:v>
      </x:c>
      <x:c r="G7" s="29" t="str">
        <x:v>Not run</x:v>
      </x:c>
      <x:c r="H7" s="29" t="str">
        <x:v>[ATTACH]</x:v>
      </x:c>
      <x:c r="I7" s="29" t="str">
        <x:v>Security Lead</x:v>
      </x:c>
      <x:c r="J7" s="29" t="str">
        <x:v>PB-H</x:v>
      </x:c>
      <x:c r="K7" s="29" t="str">
        <x:v>High</x:v>
      </x:c>
      <x:c r="L7" s="30" t="str">
        <x:v>Validate against approved policy and logs</x:v>
      </x:c>
    </x:row>
  </x:sheetData>
  <x:mergeCells>
    <x:mergeCell ref="A1:L1"/>
    <x:mergeCell ref="A2:L2"/>
  </x:mergeCells>
  <x:conditionalFormatting sqref="G5:G100">
    <x:cfRule type="containsText" dxfId="6" priority="1" operator="containsText" text="Failed"/>
    <x:cfRule type="containsText" dxfId="7" priority="2" operator="containsText" text="Passed"/>
  </x:conditionalFormatting>
  <x:dataValidations count="1">
    <x:dataValidation type="list" sqref="G5:G100">
      <x:formula1>"Not run,Passed,Failed,Blocked,Waived"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a3cf411353488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38" hidden="0" customWidth="1"/>
    <x:col min="4" max="4" width="12" hidden="0" customWidth="1"/>
    <x:col min="5" max="5" width="17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6" hidden="0" customWidth="1"/>
    <x:col min="11" max="11" width="14" hidden="0" customWidth="1"/>
    <x:col min="12" max="12" width="40" hidden="0" customWidth="1"/>
  </x:cols>
  <x:sheetData>
    <x:row r="1" ht="30" customHeight="1">
      <x:c r="A1" s="3" t="str">
        <x:v>Table 1. Budget and TCO — Evidence: range estimates and assumptions [RBE-M/SA-L/DC-L]; Confidence: low/medium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7" t="str">
        <x:v>Evidence-confidence key: PB-H = public benchmark/high; PB-M = public benchmark/medium; RBE-M = research-based estimate/medium; SA-L = scenario assumption/low; DC-L = derived calculation/low; UPV = unverified production value.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0" customHeight="1">
      <x:c r="A4" s="11" t="str">
        <x:v>Cost ID</x:v>
      </x:c>
      <x:c r="B4" s="11" t="str">
        <x:v>Category</x:v>
      </x:c>
      <x:c r="C4" s="11" t="str">
        <x:v>Item</x:v>
      </x:c>
      <x:c r="D4" s="11" t="str">
        <x:v>Quantity</x:v>
      </x:c>
      <x:c r="E4" s="11" t="str">
        <x:v>Unit cost</x:v>
      </x:c>
      <x:c r="F4" s="11" t="str">
        <x:v>Total cost</x:v>
      </x:c>
      <x:c r="G4" s="11" t="str">
        <x:v>Timing</x:v>
      </x:c>
      <x:c r="H4" s="11" t="str">
        <x:v>Owner</x:v>
      </x:c>
      <x:c r="I4" s="11" t="str">
        <x:v>Actual / forecast</x:v>
      </x:c>
      <x:c r="J4" s="11" t="str">
        <x:v>Evidence class</x:v>
      </x:c>
      <x:c r="K4" s="11" t="str">
        <x:v>Confidence</x:v>
      </x:c>
      <x:c r="L4" s="11" t="str">
        <x:v>Source / validation</x:v>
      </x:c>
    </x:row>
    <x:row r="5">
      <x:c r="A5" s="25" t="str">
        <x:v>CAP-001</x:v>
      </x:c>
      <x:c r="B5" s="26" t="str">
        <x:v>Capital</x:v>
      </x:c>
      <x:c r="C5" s="26" t="str">
        <x:v>Robot and approved accessories</x:v>
      </x:c>
      <x:c r="D5" s="26" t="n">
        <x:v>2</x:v>
      </x:c>
      <x:c r="E5" s="33" t="n">
        <x:v>150000</x:v>
      </x:c>
      <x:c r="F5" s="33" t="n">
        <x:f>D5*E5</x:f>
        <x:v>300000</x:v>
      </x:c>
      <x:c r="G5" s="26" t="str">
        <x:v>Year 0</x:v>
      </x:c>
      <x:c r="H5" s="26" t="str">
        <x:v>Finance Lead</x:v>
      </x:c>
      <x:c r="I5" s="26" t="str">
        <x:v>Forecast</x:v>
      </x:c>
      <x:c r="J5" s="26" t="str">
        <x:v>RBE-M</x:v>
      </x:c>
      <x:c r="K5" s="26" t="str">
        <x:v>Medium</x:v>
      </x:c>
      <x:c r="L5" s="27" t="str">
        <x:v>Competitive supplier quote required</x:v>
      </x:c>
    </x:row>
    <x:row r="6">
      <x:c r="A6" s="28" t="str">
        <x:v>IMP-001</x:v>
      </x:c>
      <x:c r="B6" s="29" t="str">
        <x:v>Implementation</x:v>
      </x:c>
      <x:c r="C6" s="29" t="str">
        <x:v>Integration, safety, training, and launch</x:v>
      </x:c>
      <x:c r="D6" s="29" t="n">
        <x:v>1</x:v>
      </x:c>
      <x:c r="E6" s="34" t="n">
        <x:v>95000</x:v>
      </x:c>
      <x:c r="F6" s="34" t="n">
        <x:f>D6*E6</x:f>
        <x:v>95000</x:v>
      </x:c>
      <x:c r="G6" s="29" t="str">
        <x:v>Year 0</x:v>
      </x:c>
      <x:c r="H6" s="29" t="str">
        <x:v>Program Lead</x:v>
      </x:c>
      <x:c r="I6" s="29" t="str">
        <x:v>Forecast</x:v>
      </x:c>
      <x:c r="J6" s="29" t="str">
        <x:v>SA-L</x:v>
      </x:c>
      <x:c r="K6" s="29" t="str">
        <x:v>Low</x:v>
      </x:c>
      <x:c r="L6" s="30" t="str">
        <x:v>Work-breakdown estimate required</x:v>
      </x:c>
    </x:row>
    <x:row r="7">
      <x:c r="A7" s="28" t="str">
        <x:v>OPE-001</x:v>
      </x:c>
      <x:c r="B7" s="29" t="str">
        <x:v>Operating</x:v>
      </x:c>
      <x:c r="C7" s="29" t="str">
        <x:v>Support, cloud, connectivity, spares, and field service</x:v>
      </x:c>
      <x:c r="D7" s="29" t="n">
        <x:v>3</x:v>
      </x:c>
      <x:c r="E7" s="34" t="n">
        <x:v>42000</x:v>
      </x:c>
      <x:c r="F7" s="34" t="n">
        <x:f>D7*E7</x:f>
        <x:v>126000</x:v>
      </x:c>
      <x:c r="G7" s="29" t="str">
        <x:v>Years 1-3</x:v>
      </x:c>
      <x:c r="H7" s="29" t="str">
        <x:v>Service Lead</x:v>
      </x:c>
      <x:c r="I7" s="29" t="str">
        <x:v>Forecast</x:v>
      </x:c>
      <x:c r="J7" s="29" t="str">
        <x:v>RBE-M</x:v>
      </x:c>
      <x:c r="K7" s="29" t="str">
        <x:v>Medium</x:v>
      </x:c>
      <x:c r="L7" s="30" t="str">
        <x:v>Contract and baseline required</x:v>
      </x:c>
    </x:row>
    <x:row r="8">
      <x:c r="A8" s="28" t="str">
        <x:v>CON-001</x:v>
      </x:c>
      <x:c r="B8" s="29" t="str">
        <x:v>Contingency</x:v>
      </x:c>
      <x:c r="C8" s="29" t="str">
        <x:v>Risk reserve</x:v>
      </x:c>
      <x:c r="D8" s="29" t="n">
        <x:v>1</x:v>
      </x:c>
      <x:c r="E8" s="34" t="n">
        <x:v>47400</x:v>
      </x:c>
      <x:c r="F8" s="34" t="n">
        <x:f>D8*E8</x:f>
        <x:v>47400</x:v>
      </x:c>
      <x:c r="G8" s="29" t="str">
        <x:v>Year 0</x:v>
      </x:c>
      <x:c r="H8" s="29" t="str">
        <x:v>Program Lead</x:v>
      </x:c>
      <x:c r="I8" s="29" t="str">
        <x:v>Forecast</x:v>
      </x:c>
      <x:c r="J8" s="29" t="str">
        <x:v>DC-L</x:v>
      </x:c>
      <x:c r="K8" s="29" t="str">
        <x:v>Low</x:v>
      </x:c>
      <x:c r="L8" s="30" t="str">
        <x:v>12% of capital + implementation; recalculate</x:v>
      </x:c>
    </x:row>
  </x:sheetData>
  <x:mergeCells>
    <x:mergeCell ref="A1:L1"/>
    <x:mergeCell ref="A2:L2"/>
  </x:mergeCells>
  <x:dataValidations count="1">
    <x:dataValidation type="list" sqref="I5:I100">
      <x:formula1>"Forecast,Actual"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8efff5d380409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32" hidden="0" customWidth="1"/>
    <x:col min="4" max="4" width="14" hidden="0" customWidth="1"/>
    <x:col min="5" max="5" width="14" hidden="0" customWidth="1"/>
    <x:col min="6" max="6" width="40" hidden="0" customWidth="1"/>
    <x:col min="7" max="7" width="14" hidden="0" customWidth="1"/>
    <x:col min="8" max="8" width="18" hidden="0" customWidth="1"/>
    <x:col min="9" max="9" width="14" hidden="0" customWidth="1"/>
    <x:col min="10" max="10" width="14" hidden="0" customWidth="1"/>
    <x:col min="11" max="11" width="16" hidden="0" customWidth="1"/>
    <x:col min="12" max="12" width="14" hidden="0" customWidth="1"/>
    <x:col min="13" max="13" width="38" hidden="0" customWidth="1"/>
  </x:cols>
  <x:sheetData>
    <x:row r="1" ht="30" customHeight="1">
      <x:c r="A1" s="3" t="str">
        <x:v>Table 1. Benefits register — Evidence: example targets [SA-L/PB-H]; Confidence: low/high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7" t="str">
        <x:v>Evidence-confidence key: PB-H = public benchmark/high; PB-M = public benchmark/medium; RBE-M = research-based estimate/medium; SA-L = scenario assumption/low; DC-L = derived calculation/low; UPV = unverified production value.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0" customHeight="1">
      <x:c r="A4" s="11" t="str">
        <x:v>Benefit ID</x:v>
      </x:c>
      <x:c r="B4" s="11" t="str">
        <x:v>Outcome</x:v>
      </x:c>
      <x:c r="C4" s="11" t="str">
        <x:v>Metric</x:v>
      </x:c>
      <x:c r="D4" s="11" t="str">
        <x:v>Baseline</x:v>
      </x:c>
      <x:c r="E4" s="11" t="str">
        <x:v>Target</x:v>
      </x:c>
      <x:c r="F4" s="11" t="str">
        <x:v>Measurement method</x:v>
      </x:c>
      <x:c r="G4" s="11" t="str">
        <x:v>Frequency</x:v>
      </x:c>
      <x:c r="H4" s="11" t="str">
        <x:v>Owner</x:v>
      </x:c>
      <x:c r="I4" s="11" t="str">
        <x:v>Start</x:v>
      </x:c>
      <x:c r="J4" s="11" t="str">
        <x:v>Status</x:v>
      </x:c>
      <x:c r="K4" s="11" t="str">
        <x:v>Evidence class</x:v>
      </x:c>
      <x:c r="L4" s="11" t="str">
        <x:v>Confidence</x:v>
      </x:c>
      <x:c r="M4" s="11" t="str">
        <x:v>Source / validation</x:v>
      </x:c>
    </x:row>
    <x:row r="5">
      <x:c r="A5" s="25" t="str">
        <x:v>BEN-001</x:v>
      </x:c>
      <x:c r="B5" s="26" t="str">
        <x:v>Recover productive capacity</x:v>
      </x:c>
      <x:c r="C5" s="26" t="str">
        <x:v>Qualified productive hours/week</x:v>
      </x:c>
      <x:c r="D5" s="26" t="n">
        <x:v>0</x:v>
      </x:c>
      <x:c r="E5" s="26" t="n">
        <x:v>40</x:v>
      </x:c>
      <x:c r="F5" s="26" t="str">
        <x:v>Approved taxonomy and sampled telemetry</x:v>
      </x:c>
      <x:c r="G5" s="26" t="str">
        <x:v>Weekly</x:v>
      </x:c>
      <x:c r="H5" s="26" t="str">
        <x:v>Operations Lead</x:v>
      </x:c>
      <x:c r="I5" s="26" t="str">
        <x:v>2026-10-19</x:v>
      </x:c>
      <x:c r="J5" s="26" t="str">
        <x:v>Planned</x:v>
      </x:c>
      <x:c r="K5" s="26" t="str">
        <x:v>SA-L</x:v>
      </x:c>
      <x:c r="L5" s="26" t="str">
        <x:v>Low</x:v>
      </x:c>
      <x:c r="M5" s="27" t="str">
        <x:v>Signed baseline and telemetry required</x:v>
      </x:c>
    </x:row>
    <x:row r="6">
      <x:c r="A6" s="28" t="str">
        <x:v>BEN-002</x:v>
      </x:c>
      <x:c r="B6" s="29" t="str">
        <x:v>Improve service reliability</x:v>
      </x:c>
      <x:c r="C6" s="29" t="str">
        <x:v>Mission success rate</x:v>
      </x:c>
      <x:c r="D6" s="29" t="str">
        <x:v>TBD</x:v>
      </x:c>
      <x:c r="E6" s="29" t="str">
        <x:v>95%</x:v>
      </x:c>
      <x:c r="F6" s="29" t="str">
        <x:v>Eligible completed / eligible attempted</x:v>
      </x:c>
      <x:c r="G6" s="29" t="str">
        <x:v>Weekly</x:v>
      </x:c>
      <x:c r="H6" s="29" t="str">
        <x:v>Service Lead</x:v>
      </x:c>
      <x:c r="I6" s="29" t="str">
        <x:v>2026-10-19</x:v>
      </x:c>
      <x:c r="J6" s="29" t="str">
        <x:v>Planned</x:v>
      </x:c>
      <x:c r="K6" s="29" t="str">
        <x:v>SA-L</x:v>
      </x:c>
      <x:c r="L6" s="29" t="str">
        <x:v>Low</x:v>
      </x:c>
      <x:c r="M6" s="30" t="str">
        <x:v>Customer definition and target required</x:v>
      </x:c>
    </x:row>
    <x:row r="7">
      <x:c r="A7" s="28" t="str">
        <x:v>BEN-003</x:v>
      </x:c>
      <x:c r="B7" s="29" t="str">
        <x:v>Reduce safety exposure</x:v>
      </x:c>
      <x:c r="C7" s="29" t="str">
        <x:v>Recordable robot-caused safety events</x:v>
      </x:c>
      <x:c r="D7" s="29" t="str">
        <x:v>TBD</x:v>
      </x:c>
      <x:c r="E7" s="29" t="n">
        <x:v>0</x:v>
      </x:c>
      <x:c r="F7" s="29" t="str">
        <x:v>Approved safety incident register</x:v>
      </x:c>
      <x:c r="G7" s="29" t="str">
        <x:v>Monthly</x:v>
      </x:c>
      <x:c r="H7" s="29" t="str">
        <x:v>Safety Lead</x:v>
      </x:c>
      <x:c r="I7" s="29" t="str">
        <x:v>2026-10-19</x:v>
      </x:c>
      <x:c r="J7" s="29" t="str">
        <x:v>Planned</x:v>
      </x:c>
      <x:c r="K7" s="29" t="str">
        <x:v>PB-H</x:v>
      </x:c>
      <x:c r="L7" s="29" t="str">
        <x:v>High</x:v>
      </x:c>
      <x:c r="M7" s="30" t="str">
        <x:v>Zero critical-event threshold; baseline required</x:v>
      </x:c>
    </x:row>
  </x:sheetData>
  <x:mergeCells>
    <x:mergeCell ref="A1:M1"/>
    <x:mergeCell ref="A2:M2"/>
  </x:mergeCells>
  <x:dataValidations count="1">
    <x:dataValidation type="list" sqref="J5:J100">
      <x:formula1>"Planned,Measuring,Realized,Stopped"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b2b67dcdc840d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6" hidden="0" customWidth="1"/>
    <x:col min="3" max="3" width="30" hidden="0" customWidth="1"/>
    <x:col min="4" max="4" width="20" hidden="0" customWidth="1"/>
    <x:col min="5" max="5" width="18" hidden="0" customWidth="1"/>
    <x:col min="6" max="6" width="18" hidden="0" customWidth="1"/>
    <x:col min="7" max="7" width="14" hidden="0" customWidth="1"/>
    <x:col min="8" max="8" width="16" hidden="0" customWidth="1"/>
    <x:col min="9" max="9" width="16" hidden="0" customWidth="1"/>
    <x:col min="10" max="10" width="14" hidden="0" customWidth="1"/>
    <x:col min="11" max="11" width="36" hidden="0" customWidth="1"/>
  </x:cols>
  <x:sheetData>
    <x:row r="1" ht="30" customHeight="1">
      <x:c r="A1" s="3" t="str">
        <x:v>Table 1. Evidence register — Evidence: release controls [UPV/RBE-M]; Confidence: unverified/medium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7" t="str">
        <x:v>Evidence-confidence key: PB-H = public benchmark/high; PB-M = public benchmark/medium; RBE-M = research-based estimate/medium; SA-L = scenario assumption/low; DC-L = derived calculation/low; UPV = unverified production value.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0" customHeight="1">
      <x:c r="A4" s="11" t="str">
        <x:v>Evidence ID</x:v>
      </x:c>
      <x:c r="B4" s="11" t="str">
        <x:v>Claim / control</x:v>
      </x:c>
      <x:c r="C4" s="11" t="str">
        <x:v>Evidence type</x:v>
      </x:c>
      <x:c r="D4" s="11" t="str">
        <x:v>Location</x:v>
      </x:c>
      <x:c r="E4" s="11" t="str">
        <x:v>Record owner</x:v>
      </x:c>
      <x:c r="F4" s="11" t="str">
        <x:v>Approver</x:v>
      </x:c>
      <x:c r="G4" s="11" t="str">
        <x:v>Review date</x:v>
      </x:c>
      <x:c r="H4" s="11" t="str">
        <x:v>Approval state</x:v>
      </x:c>
      <x:c r="I4" s="11" t="str">
        <x:v>Evidence class</x:v>
      </x:c>
      <x:c r="J4" s="11" t="str">
        <x:v>Confidence</x:v>
      </x:c>
      <x:c r="K4" s="11" t="str">
        <x:v>Source / validation</x:v>
      </x:c>
    </x:row>
    <x:row r="5">
      <x:c r="A5" s="25" t="str">
        <x:v>EVD-001</x:v>
      </x:c>
      <x:c r="B5" s="26" t="str">
        <x:v>Safety thresholds approved</x:v>
      </x:c>
      <x:c r="C5" s="26" t="str">
        <x:v>Signed hazard and acceptance plan</x:v>
      </x:c>
      <x:c r="D5" s="26" t="str">
        <x:v>[ATTACH]</x:v>
      </x:c>
      <x:c r="E5" s="26" t="str">
        <x:v>Safety Lead</x:v>
      </x:c>
      <x:c r="F5" s="26" t="str">
        <x:v>Executive Sponsor</x:v>
      </x:c>
      <x:c r="G5" s="26" t="str">
        <x:v>2026-09-18</x:v>
      </x:c>
      <x:c r="H5" s="26" t="str">
        <x:v>Pending</x:v>
      </x:c>
      <x:c r="I5" s="26" t="str">
        <x:v>UPV</x:v>
      </x:c>
      <x:c r="J5" s="26" t="str">
        <x:v>Unverified</x:v>
      </x:c>
      <x:c r="K5" s="27" t="str">
        <x:v>Block gate until signed</x:v>
      </x:c>
    </x:row>
    <x:row r="6">
      <x:c r="A6" s="28" t="str">
        <x:v>EVD-002</x:v>
      </x:c>
      <x:c r="B6" s="29" t="str">
        <x:v>Budget reflects current supplier and labor inputs</x:v>
      </x:c>
      <x:c r="C6" s="29" t="str">
        <x:v>Quote and rate package</x:v>
      </x:c>
      <x:c r="D6" s="29" t="str">
        <x:v>[ATTACH]</x:v>
      </x:c>
      <x:c r="E6" s="29" t="str">
        <x:v>Finance Lead</x:v>
      </x:c>
      <x:c r="F6" s="29" t="str">
        <x:v>Executive Sponsor</x:v>
      </x:c>
      <x:c r="G6" s="29" t="str">
        <x:v>2026-09-25</x:v>
      </x:c>
      <x:c r="H6" s="29" t="str">
        <x:v>Pending</x:v>
      </x:c>
      <x:c r="I6" s="29" t="str">
        <x:v>RBE-M</x:v>
      </x:c>
      <x:c r="J6" s="29" t="str">
        <x:v>Medium</x:v>
      </x:c>
      <x:c r="K6" s="30" t="str">
        <x:v>Replace estimates with dated evidence</x:v>
      </x:c>
    </x:row>
    <x:row r="7">
      <x:c r="A7" s="28" t="str">
        <x:v>EVD-003</x:v>
      </x:c>
      <x:c r="B7" s="29" t="str">
        <x:v>Tests satisfy release requirements</x:v>
      </x:c>
      <x:c r="C7" s="29" t="str">
        <x:v>Signed RTM and test report</x:v>
      </x:c>
      <x:c r="D7" s="29" t="str">
        <x:v>[ATTACH]</x:v>
      </x:c>
      <x:c r="E7" s="29" t="str">
        <x:v>Test Lead</x:v>
      </x:c>
      <x:c r="F7" s="29" t="str">
        <x:v>Customer Owner</x:v>
      </x:c>
      <x:c r="G7" s="29" t="str">
        <x:v>2026-10-16</x:v>
      </x:c>
      <x:c r="H7" s="29" t="str">
        <x:v>Pending</x:v>
      </x:c>
      <x:c r="I7" s="29" t="str">
        <x:v>UPV</x:v>
      </x:c>
      <x:c r="J7" s="29" t="str">
        <x:v>Unverified</x:v>
      </x:c>
      <x:c r="K7" s="30" t="str">
        <x:v>Each passed row needs traceable evidence</x:v>
      </x:c>
    </x:row>
  </x:sheetData>
  <x:mergeCells>
    <x:mergeCell ref="A1:K1"/>
    <x:mergeCell ref="A2:K2"/>
  </x:mergeCells>
  <x:conditionalFormatting sqref="H5:H100">
    <x:cfRule type="containsText" dxfId="8" priority="1" operator="containsText" text="Pending"/>
    <x:cfRule type="containsText" dxfId="9" priority="2" operator="containsText" text="Approved"/>
  </x:conditionalFormatting>
  <x:dataValidations count="1">
    <x:dataValidation type="list" sqref="H5:H100">
      <x:formula1>"Pending,Approved,Rejected,Expired"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9ed0dc34514fb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3" hidden="0" customWidth="1"/>
    <x:col min="4" max="4" width="13" hidden="0" customWidth="1"/>
    <x:col min="5" max="5" width="34" hidden="0" customWidth="1"/>
    <x:col min="6" max="6" width="30" hidden="0" customWidth="1"/>
    <x:col min="7" max="7" width="26" hidden="0" customWidth="1"/>
    <x:col min="8" max="8" width="18" hidden="0" customWidth="1"/>
    <x:col min="9" max="9" width="16" hidden="0" customWidth="1"/>
    <x:col min="10" max="10" width="14" hidden="0" customWidth="1"/>
    <x:col min="11" max="11" width="36" hidden="0" customWidth="1"/>
  </x:cols>
  <x:sheetData>
    <x:row r="1" ht="30" customHeight="1">
      <x:c r="A1" s="3" t="str">
        <x:v>Table 1. Stakeholder and communications plan — Evidence: recommended pattern [SA-L]; Confidence: low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7" t="str">
        <x:v>Evidence-confidence key: PB-H = public benchmark/high; PB-M = public benchmark/medium; RBE-M = research-based estimate/medium; SA-L = scenario assumption/low; DC-L = derived calculation/low; UPV = unverified production value.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0" customHeight="1">
      <x:c r="A4" s="11" t="str">
        <x:v>Stakeholder</x:v>
      </x:c>
      <x:c r="B4" s="11" t="str">
        <x:v>Role</x:v>
      </x:c>
      <x:c r="C4" s="11" t="str">
        <x:v>Influence</x:v>
      </x:c>
      <x:c r="D4" s="11" t="str">
        <x:v>Impact</x:v>
      </x:c>
      <x:c r="E4" s="11" t="str">
        <x:v>Decision right</x:v>
      </x:c>
      <x:c r="F4" s="11" t="str">
        <x:v>Information need</x:v>
      </x:c>
      <x:c r="G4" s="11" t="str">
        <x:v>Channel / cadence</x:v>
      </x:c>
      <x:c r="H4" s="11" t="str">
        <x:v>Owner</x:v>
      </x:c>
      <x:c r="I4" s="11" t="str">
        <x:v>Evidence class</x:v>
      </x:c>
      <x:c r="J4" s="11" t="str">
        <x:v>Confidence</x:v>
      </x:c>
      <x:c r="K4" s="11" t="str">
        <x:v>Source / validation</x:v>
      </x:c>
    </x:row>
    <x:row r="5">
      <x:c r="A5" s="25" t="str">
        <x:v>Executive sponsor</x:v>
      </x:c>
      <x:c r="B5" s="26" t="str">
        <x:v>Investment owner</x:v>
      </x:c>
      <x:c r="C5" s="26" t="str">
        <x:v>High</x:v>
      </x:c>
      <x:c r="D5" s="26" t="str">
        <x:v>High</x:v>
      </x:c>
      <x:c r="E5" s="26" t="str">
        <x:v>Approves budget, scope, and residual risk</x:v>
      </x:c>
      <x:c r="F5" s="26" t="str">
        <x:v>Outcome, exception, decision</x:v>
      </x:c>
      <x:c r="G5" s="26" t="str">
        <x:v>Steering / biweekly</x:v>
      </x:c>
      <x:c r="H5" s="26" t="str">
        <x:v>Program Lead</x:v>
      </x:c>
      <x:c r="I5" s="26" t="str">
        <x:v>SA-L</x:v>
      </x:c>
      <x:c r="J5" s="26" t="str">
        <x:v>Low</x:v>
      </x:c>
      <x:c r="K5" s="27" t="str">
        <x:v>Replace with signed governance plan</x:v>
      </x:c>
    </x:row>
    <x:row r="6">
      <x:c r="A6" s="28" t="str">
        <x:v>Safety lead</x:v>
      </x:c>
      <x:c r="B6" s="29" t="str">
        <x:v>Safety authority</x:v>
      </x:c>
      <x:c r="C6" s="29" t="str">
        <x:v>High</x:v>
      </x:c>
      <x:c r="D6" s="29" t="str">
        <x:v>High</x:v>
      </x:c>
      <x:c r="E6" s="29" t="str">
        <x:v>Sets stop/restart and acceptance controls</x:v>
      </x:c>
      <x:c r="F6" s="29" t="str">
        <x:v>Hazards, tests, incidents</x:v>
      </x:c>
      <x:c r="G6" s="29" t="str">
        <x:v>Gate review / as needed</x:v>
      </x:c>
      <x:c r="H6" s="29" t="str">
        <x:v>Program Lead</x:v>
      </x:c>
      <x:c r="I6" s="29" t="str">
        <x:v>SA-L</x:v>
      </x:c>
      <x:c r="J6" s="29" t="str">
        <x:v>Low</x:v>
      </x:c>
      <x:c r="K6" s="30" t="str">
        <x:v>Replace with approved RACI</x:v>
      </x:c>
    </x:row>
    <x:row r="7">
      <x:c r="A7" s="28" t="str">
        <x:v>Site operators</x:v>
      </x:c>
      <x:c r="B7" s="29" t="str">
        <x:v>Daily users</x:v>
      </x:c>
      <x:c r="C7" s="29" t="str">
        <x:v>Medium</x:v>
      </x:c>
      <x:c r="D7" s="29" t="str">
        <x:v>High</x:v>
      </x:c>
      <x:c r="E7" s="29" t="str">
        <x:v>Accept workflow and handoff</x:v>
      </x:c>
      <x:c r="F7" s="29" t="str">
        <x:v>Training, exceptions, changes</x:v>
      </x:c>
      <x:c r="G7" s="29" t="str">
        <x:v>Daily huddle / weekly review</x:v>
      </x:c>
      <x:c r="H7" s="29" t="str">
        <x:v>Change Lead</x:v>
      </x:c>
      <x:c r="I7" s="29" t="str">
        <x:v>SA-L</x:v>
      </x:c>
      <x:c r="J7" s="29" t="str">
        <x:v>Low</x:v>
      </x:c>
      <x:c r="K7" s="30" t="str">
        <x:v>Validate through discovery and UAT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45e452bed4ba47f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42" hidden="0" customWidth="1"/>
    <x:col min="4" max="4" width="16" hidden="0" customWidth="1"/>
    <x:col min="5" max="5" width="18" hidden="0" customWidth="1"/>
    <x:col min="6" max="6" width="14" hidden="0" customWidth="1"/>
    <x:col min="7" max="7" width="24" hidden="0" customWidth="1"/>
    <x:col min="8" max="8" width="16" hidden="0" customWidth="1"/>
    <x:col min="9" max="9" width="14" hidden="0" customWidth="1"/>
    <x:col min="10" max="10" width="40" hidden="0" customWidth="1"/>
  </x:cols>
  <x:sheetData>
    <x:row r="1" ht="30" customHeight="1">
      <x:c r="A1" s="3" t="str">
        <x:v>Table 1. Vendor readiness and commercial controls — Evidence: example controls [SA-L/RBE-M]; Confidence: low/medium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8" customHeight="1">
      <x:c r="A2" s="7" t="str">
        <x:v>Evidence-confidence key: PB-H = public benchmark/high; PB-M = public benchmark/medium; RBE-M = research-based estimate/medium; SA-L = scenario assumption/low; DC-L = derived calculation/low; UPV = unverified production value.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11" t="str">
        <x:v>Vendor / item</x:v>
      </x:c>
      <x:c r="B4" s="11" t="str">
        <x:v>Control area</x:v>
      </x:c>
      <x:c r="C4" s="11" t="str">
        <x:v>Requirement</x:v>
      </x:c>
      <x:c r="D4" s="11" t="str">
        <x:v>Evidence due</x:v>
      </x:c>
      <x:c r="E4" s="11" t="str">
        <x:v>Owner</x:v>
      </x:c>
      <x:c r="F4" s="11" t="str">
        <x:v>Status</x:v>
      </x:c>
      <x:c r="G4" s="11" t="str">
        <x:v>Commercial exposure</x:v>
      </x:c>
      <x:c r="H4" s="11" t="str">
        <x:v>Evidence class</x:v>
      </x:c>
      <x:c r="I4" s="11" t="str">
        <x:v>Confidence</x:v>
      </x:c>
      <x:c r="J4" s="11" t="str">
        <x:v>Source / validation</x:v>
      </x:c>
    </x:row>
    <x:row r="5">
      <x:c r="A5" s="25" t="str">
        <x:v>Robot supplier</x:v>
      </x:c>
      <x:c r="B5" s="26" t="str">
        <x:v>Configuration</x:v>
      </x:c>
      <x:c r="C5" s="26" t="str">
        <x:v>Serialized BOM, firmware, calibration, and release note</x:v>
      </x:c>
      <x:c r="D5" s="26" t="str">
        <x:v>2026-09-25</x:v>
      </x:c>
      <x:c r="E5" s="26" t="str">
        <x:v>Supply Lead</x:v>
      </x:c>
      <x:c r="F5" s="26" t="str">
        <x:v>Open</x:v>
      </x:c>
      <x:c r="G5" s="26" t="str">
        <x:v>Shipment blocked</x:v>
      </x:c>
      <x:c r="H5" s="26" t="str">
        <x:v>RBE-M</x:v>
      </x:c>
      <x:c r="I5" s="26" t="str">
        <x:v>Medium</x:v>
      </x:c>
      <x:c r="J5" s="27" t="str">
        <x:v>Approved supplier package required</x:v>
      </x:c>
    </x:row>
    <x:row r="6">
      <x:c r="A6" s="28" t="str">
        <x:v>Cloud / connectivity</x:v>
      </x:c>
      <x:c r="B6" s="29" t="str">
        <x:v>Security</x:v>
      </x:c>
      <x:c r="C6" s="29" t="str">
        <x:v>Data flow, identity, retention, logging, and exit plan</x:v>
      </x:c>
      <x:c r="D6" s="29" t="str">
        <x:v>2026-09-18</x:v>
      </x:c>
      <x:c r="E6" s="29" t="str">
        <x:v>Security Lead</x:v>
      </x:c>
      <x:c r="F6" s="29" t="str">
        <x:v>Open</x:v>
      </x:c>
      <x:c r="G6" s="29" t="str">
        <x:v>Production access blocked</x:v>
      </x:c>
      <x:c r="H6" s="29" t="str">
        <x:v>SA-L</x:v>
      </x:c>
      <x:c r="I6" s="29" t="str">
        <x:v>Low</x:v>
      </x:c>
      <x:c r="J6" s="30" t="str">
        <x:v>Security approval required</x:v>
      </x:c>
    </x:row>
    <x:row r="7">
      <x:c r="A7" s="28" t="str">
        <x:v>Field service</x:v>
      </x:c>
      <x:c r="B7" s="29" t="str">
        <x:v>Support</x:v>
      </x:c>
      <x:c r="C7" s="29" t="str">
        <x:v>Coverage, spares, response, escalation, and reporting</x:v>
      </x:c>
      <x:c r="D7" s="29" t="str">
        <x:v>2026-10-02</x:v>
      </x:c>
      <x:c r="E7" s="29" t="str">
        <x:v>Service Lead</x:v>
      </x:c>
      <x:c r="F7" s="29" t="str">
        <x:v>Open</x:v>
      </x:c>
      <x:c r="G7" s="29" t="str">
        <x:v>Launch blocked</x:v>
      </x:c>
      <x:c r="H7" s="29" t="str">
        <x:v>RBE-M</x:v>
      </x:c>
      <x:c r="I7" s="29" t="str">
        <x:v>Medium</x:v>
      </x:c>
      <x:c r="J7" s="30" t="str">
        <x:v>Executed service agreement required</x:v>
      </x:c>
    </x:row>
  </x:sheetData>
  <x:mergeCells>
    <x:mergeCell ref="A1:J1"/>
    <x:mergeCell ref="A2:J2"/>
  </x:mergeCells>
  <x:dataValidations count="1">
    <x:dataValidation type="list" sqref="F5:F100">
      <x:formula1>"Open,Conditional,Ready,Rejected"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c97b676f2b4e7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0" hidden="0" customWidth="1"/>
    <x:col min="5" max="5" width="42" hidden="0" customWidth="1"/>
    <x:col min="6" max="6" width="28" hidden="0" customWidth="1"/>
    <x:col min="7" max="7" width="16" hidden="0" customWidth="1"/>
    <x:col min="8" max="8" width="20" hidden="0" customWidth="1"/>
    <x:col min="9" max="9" width="16" hidden="0" customWidth="1"/>
    <x:col min="10" max="10" width="14" hidden="0" customWidth="1"/>
    <x:col min="11" max="11" width="36" hidden="0" customWidth="1"/>
  </x:cols>
  <x:sheetData>
    <x:row r="1" ht="30" customHeight="1">
      <x:c r="A1" s="3" t="str">
        <x:v>Table 1. Stage-gate decision log — Evidence: example gate sequence [SA-L/UPV]; Confidence: low/unverified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7" t="str">
        <x:v>Evidence-confidence key: PB-H = public benchmark/high; PB-M = public benchmark/medium; RBE-M = research-based estimate/medium; SA-L = scenario assumption/low; DC-L = derived calculation/low; UPV = unverified production value.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0" customHeight="1">
      <x:c r="A4" s="11" t="str">
        <x:v>Gate</x:v>
      </x:c>
      <x:c r="B4" s="11" t="str">
        <x:v>Decision date</x:v>
      </x:c>
      <x:c r="C4" s="11" t="str">
        <x:v>Decision</x:v>
      </x:c>
      <x:c r="D4" s="11" t="str">
        <x:v>Decision owner</x:v>
      </x:c>
      <x:c r="E4" s="11" t="str">
        <x:v>Criteria summary</x:v>
      </x:c>
      <x:c r="F4" s="11" t="str">
        <x:v>Conditions</x:v>
      </x:c>
      <x:c r="G4" s="11" t="str">
        <x:v>Closure due</x:v>
      </x:c>
      <x:c r="H4" s="11" t="str">
        <x:v>Evidence package</x:v>
      </x:c>
      <x:c r="I4" s="11" t="str">
        <x:v>Evidence class</x:v>
      </x:c>
      <x:c r="J4" s="11" t="str">
        <x:v>Confidence</x:v>
      </x:c>
      <x:c r="K4" s="11" t="str">
        <x:v>Source / validation</x:v>
      </x:c>
    </x:row>
    <x:row r="5">
      <x:c r="A5" s="25" t="str">
        <x:v>G0 Charter</x:v>
      </x:c>
      <x:c r="B5" s="26" t="str">
        <x:v>2026-09-04</x:v>
      </x:c>
      <x:c r="C5" s="26" t="str">
        <x:v>Pending</x:v>
      </x:c>
      <x:c r="D5" s="26" t="str">
        <x:v>Executive Sponsor</x:v>
      </x:c>
      <x:c r="E5" s="26" t="str">
        <x:v>Outcome, scope, roles, and funding</x:v>
      </x:c>
      <x:c r="F5" s="26" t="str">
        <x:v>[ENTER]</x:v>
      </x:c>
      <x:c r="G5" s="26" t="str">
        <x:v>2026-09-04</x:v>
      </x:c>
      <x:c r="H5" s="26" t="str">
        <x:v>[ATTACH]</x:v>
      </x:c>
      <x:c r="I5" s="26" t="str">
        <x:v>UPV</x:v>
      </x:c>
      <x:c r="J5" s="26" t="str">
        <x:v>Unverified</x:v>
      </x:c>
      <x:c r="K5" s="27" t="str">
        <x:v>Signed decision required</x:v>
      </x:c>
    </x:row>
    <x:row r="6">
      <x:c r="A6" s="28" t="str">
        <x:v>G1 Design</x:v>
      </x:c>
      <x:c r="B6" s="29" t="str">
        <x:v>2026-09-18</x:v>
      </x:c>
      <x:c r="C6" s="29" t="str">
        <x:v>Pending</x:v>
      </x:c>
      <x:c r="D6" s="29" t="str">
        <x:v>Executive Sponsor</x:v>
      </x:c>
      <x:c r="E6" s="29" t="str">
        <x:v>Requirements, hazards, architecture, and estimate</x:v>
      </x:c>
      <x:c r="F6" s="29" t="str">
        <x:v>[ENTER]</x:v>
      </x:c>
      <x:c r="G6" s="29" t="str">
        <x:v>2026-09-25</x:v>
      </x:c>
      <x:c r="H6" s="29" t="str">
        <x:v>[ATTACH]</x:v>
      </x:c>
      <x:c r="I6" s="29" t="str">
        <x:v>UPV</x:v>
      </x:c>
      <x:c r="J6" s="29" t="str">
        <x:v>Unverified</x:v>
      </x:c>
      <x:c r="K6" s="30" t="str">
        <x:v>Signed decision required</x:v>
      </x:c>
    </x:row>
    <x:row r="7">
      <x:c r="A7" s="28" t="str">
        <x:v>G2 Ready</x:v>
      </x:c>
      <x:c r="B7" s="29" t="str">
        <x:v>2026-10-02</x:v>
      </x:c>
      <x:c r="C7" s="29" t="str">
        <x:v>Pending</x:v>
      </x:c>
      <x:c r="D7" s="29" t="str">
        <x:v>Executive Sponsor</x:v>
      </x:c>
      <x:c r="E7" s="29" t="str">
        <x:v>Site, service, security, supplier, and test readiness</x:v>
      </x:c>
      <x:c r="F7" s="29" t="str">
        <x:v>[ENTER]</x:v>
      </x:c>
      <x:c r="G7" s="29" t="str">
        <x:v>2026-10-05</x:v>
      </x:c>
      <x:c r="H7" s="29" t="str">
        <x:v>[ATTACH]</x:v>
      </x:c>
      <x:c r="I7" s="29" t="str">
        <x:v>UPV</x:v>
      </x:c>
      <x:c r="J7" s="29" t="str">
        <x:v>Unverified</x:v>
      </x:c>
      <x:c r="K7" s="30" t="str">
        <x:v>Signed decision required</x:v>
      </x:c>
    </x:row>
    <x:row r="8">
      <x:c r="A8" s="28" t="str">
        <x:v>G3 Accept</x:v>
      </x:c>
      <x:c r="B8" s="29" t="str">
        <x:v>2026-10-16</x:v>
      </x:c>
      <x:c r="C8" s="29" t="str">
        <x:v>Pending</x:v>
      </x:c>
      <x:c r="D8" s="29" t="str">
        <x:v>Customer Owner</x:v>
      </x:c>
      <x:c r="E8" s="29" t="str">
        <x:v>FAT/SAT/UAT result and residual risk</x:v>
      </x:c>
      <x:c r="F8" s="29" t="str">
        <x:v>[ENTER]</x:v>
      </x:c>
      <x:c r="G8" s="29" t="str">
        <x:v>2026-10-19</x:v>
      </x:c>
      <x:c r="H8" s="29" t="str">
        <x:v>[ATTACH]</x:v>
      </x:c>
      <x:c r="I8" s="29" t="str">
        <x:v>UPV</x:v>
      </x:c>
      <x:c r="J8" s="29" t="str">
        <x:v>Unverified</x:v>
      </x:c>
      <x:c r="K8" s="30" t="str">
        <x:v>Signed decision required</x:v>
      </x:c>
    </x:row>
    <x:row r="9">
      <x:c r="A9" s="28" t="str">
        <x:v>G4 Scale</x:v>
      </x:c>
      <x:c r="B9" s="29" t="str">
        <x:v>2026-11-13</x:v>
      </x:c>
      <x:c r="C9" s="29" t="str">
        <x:v>Pending</x:v>
      </x:c>
      <x:c r="D9" s="29" t="str">
        <x:v>Executive Sponsor</x:v>
      </x:c>
      <x:c r="E9" s="29" t="str">
        <x:v>Reliability, benefit, TCO, support, and adoption</x:v>
      </x:c>
      <x:c r="F9" s="29" t="str">
        <x:v>[ENTER]</x:v>
      </x:c>
      <x:c r="G9" s="29" t="str">
        <x:v>2026-11-20</x:v>
      </x:c>
      <x:c r="H9" s="29" t="str">
        <x:v>[ATTACH]</x:v>
      </x:c>
      <x:c r="I9" s="29" t="str">
        <x:v>UPV</x:v>
      </x:c>
      <x:c r="J9" s="29" t="str">
        <x:v>Unverified</x:v>
      </x:c>
      <x:c r="K9" s="30" t="str">
        <x:v>Signed decision required</x:v>
      </x:c>
    </x:row>
  </x:sheetData>
  <x:mergeCells>
    <x:mergeCell ref="A1:K1"/>
    <x:mergeCell ref="A2:K2"/>
  </x:mergeCells>
  <x:conditionalFormatting sqref="C5:C100">
    <x:cfRule type="containsText" dxfId="10" priority="1" operator="containsText" text="Hold"/>
    <x:cfRule type="containsText" dxfId="11" priority="2" operator="containsText" text="Go"/>
  </x:conditionalFormatting>
  <x:dataValidations count="1">
    <x:dataValidation type="list" sqref="C5:C100">
      <x:formula1>"Pending,Go,Conditional go,Hold"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ed1a4968bc4813"/>
  </x:tableParts>
</x:worksheet>
</file>