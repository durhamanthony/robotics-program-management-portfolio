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d76acf1a9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a8002b714da4ce4"/>
    <x:sheet xmlns:r="http://schemas.openxmlformats.org/officeDocument/2006/relationships" name="Assumptions" sheetId="2" r:id="Re37700f8aa2f45c0"/>
    <x:sheet xmlns:r="http://schemas.openxmlformats.org/officeDocument/2006/relationships" name="RAID" sheetId="3" r:id="Rb52003c92d2d4fff"/>
    <x:sheet xmlns:r="http://schemas.openxmlformats.org/officeDocument/2006/relationships" name="Day1" sheetId="4" r:id="R6a970d4d53e24373"/>
    <x:sheet xmlns:r="http://schemas.openxmlformats.org/officeDocument/2006/relationships" name="Applications" sheetId="5" r:id="Rafe35dd8301145f7"/>
    <x:sheet xmlns:r="http://schemas.openxmlformats.org/officeDocument/2006/relationships" name="Migration Validation" sheetId="6" r:id="R642aedda0c7441af"/>
    <x:sheet xmlns:r="http://schemas.openxmlformats.org/officeDocument/2006/relationships" name="Budget" sheetId="7" r:id="R1372c8c7c0fa4333"/>
    <x:sheet xmlns:r="http://schemas.openxmlformats.org/officeDocument/2006/relationships" name="Sources" sheetId="8" r:id="R32aeed7d2e0b46cb"/>
    <x:sheet xmlns:r="http://schemas.openxmlformats.org/officeDocument/2006/relationships" name="Template Blank" sheetId="9" r:id="R116d45250e86485b"/>
    <x:sheet xmlns:r="http://schemas.openxmlformats.org/officeDocument/2006/relationships" name="Agile Dashboard" sheetId="10" r:id="Rc4cb44b2bde04197"/>
    <x:sheet xmlns:r="http://schemas.openxmlformats.org/officeDocument/2006/relationships" name="Predictive Dashboard" sheetId="11" r:id="R2ccbf930a20b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.0%"/>
    <x:numFmt numFmtId="202" formatCode="$#,##0;[Red]-$#,##0"/>
    <x:numFmt numFmtId="203" formatCode="0"/>
    <x:numFmt numFmtId="204" formatCode="0.0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9"/>
      <x:color rgb="FF5B6670"/>
      <x:name val="Carlito"/>
    </x:font>
    <x:font>
      <x:b/>
      <x:sz val="9"/>
      <x:color rgb="FFFFFFFF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b/>
      <x:sz val="11"/>
      <x:color rgb="FF0735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352B"/>
      </x:patternFill>
    </x:fill>
    <x:fill>
      <x:patternFill patternType="solid">
        <x:fgColor rgb="FFE8F3F5"/>
      </x:patternFill>
    </x:fill>
    <x:fill>
      <x:patternFill patternType="solid">
        <x:fgColor rgb="FF17627D"/>
      </x:patternFill>
    </x:fill>
    <x:fill>
      <x:patternFill patternType="solid">
        <x:fgColor rgb="FFFFFFFF"/>
      </x:patternFill>
    </x:fill>
    <x:fill>
      <x:patternFill patternType="solid">
        <x:fgColor rgb="FFFFF0CE"/>
      </x:patternFill>
    </x:fill>
  </x:fills>
  <x:borders count="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201" fontId="0" fillId="5" borderId="3" xfId="0" applyNumberFormat="1" applyFont="1" applyFill="1" applyBorder="1"/>
    <x:xf numFmtId="201" fontId="0" fillId="5" borderId="6" xfId="0" applyNumberFormat="1" applyFont="1" applyFill="1" applyBorder="1"/>
    <x:xf numFmtId="203" fontId="0" fillId="5" borderId="6" xfId="0" applyNumberFormat="1" applyFont="1" applyFill="1" applyBorder="1"/>
    <x:xf numFmtId="200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4" fontId="0" fillId="5" borderId="3" xfId="0" applyNumberFormat="1" applyFont="1" applyFill="1" applyBorder="1"/>
    <x:xf numFmtId="204" fontId="0" fillId="5" borderId="6" xfId="0" applyNumberFormat="1" applyFont="1" applyFill="1" applyBorder="1"/>
    <x:xf numFmtId="203" fontId="0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3c2c9b50a4f3f" /><Relationship Type="http://schemas.openxmlformats.org/officeDocument/2006/relationships/theme" Target="/xl/theme/theme1.xml" Id="R4af0ca2297504279" /><Relationship Type="http://schemas.openxmlformats.org/officeDocument/2006/relationships/sharedStrings" Target="/xl/sharedStrings.xml" Id="R94c966b4d1304cb5" /><Relationship Type="http://schemas.openxmlformats.org/officeDocument/2006/relationships/worksheet" Target="/xl/worksheets/sheet1.xml" Id="Rea8002b714da4ce4" /><Relationship Type="http://schemas.openxmlformats.org/officeDocument/2006/relationships/worksheet" Target="/xl/worksheets/sheet2.xml" Id="Re37700f8aa2f45c0" /><Relationship Type="http://schemas.openxmlformats.org/officeDocument/2006/relationships/worksheet" Target="/xl/worksheets/sheet3.xml" Id="Rb52003c92d2d4fff" /><Relationship Type="http://schemas.openxmlformats.org/officeDocument/2006/relationships/worksheet" Target="/xl/worksheets/sheet4.xml" Id="R6a970d4d53e24373" /><Relationship Type="http://schemas.openxmlformats.org/officeDocument/2006/relationships/worksheet" Target="/xl/worksheets/sheet5.xml" Id="Rafe35dd8301145f7" /><Relationship Type="http://schemas.openxmlformats.org/officeDocument/2006/relationships/worksheet" Target="/xl/worksheets/sheet6.xml" Id="R642aedda0c7441af" /><Relationship Type="http://schemas.openxmlformats.org/officeDocument/2006/relationships/worksheet" Target="/xl/worksheets/sheet7.xml" Id="R1372c8c7c0fa4333" /><Relationship Type="http://schemas.openxmlformats.org/officeDocument/2006/relationships/worksheet" Target="/xl/worksheets/sheet8.xml" Id="R32aeed7d2e0b46cb" /><Relationship Type="http://schemas.openxmlformats.org/officeDocument/2006/relationships/worksheet" Target="/xl/worksheets/sheet9.xml" Id="R116d45250e86485b" /><Relationship Type="http://schemas.openxmlformats.org/officeDocument/2006/relationships/worksheet" Target="/xl/worksheets/sheet10.xml" Id="Rc4cb44b2bde04197" /><Relationship Type="http://schemas.openxmlformats.org/officeDocument/2006/relationships/worksheet" Target="/xl/worksheets/sheet11.xml" Id="R2ccbf930a20b4f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4e656786a44ff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667bbedfc5e4a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Day 1 fully ready by cohort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Ready</c:v>
          </c:tx>
          <c:cat>
            <c:strRef>
              <c:f>'Agile Dashboard'!$J$5:$J$9</c:f>
              <c:strCache>
                <c:ptCount val="0"/>
              </c:strCache>
            </c:strRef>
          </c:cat>
          <c:val>
            <c:numRef>
              <c:f>'Agile Dashboard'!$K$5:$K$9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by control account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Forecast</c:v>
          </c:tx>
          <c:cat>
            <c:strRef>
              <c:f>'Predictive Dashboard'!$J$5:$J$9</c:f>
              <c:strCache>
                <c:ptCount val="0"/>
              </c:strCache>
            </c:strRef>
          </c:cat>
          <c:val>
            <c:numRef>
              <c:f>'Predictive Dashboard'!$K$5:$K$9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4e656786a44ff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67bbedfc5e4a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Instructions" displayName="MaInstructions" ref="A4:D8" headerRowCount="1" totalsRowCount="0" totalsRowShown="0">
  <x:tableColumns count="4">
    <x:tableColumn id="1" name="Step"/>
    <x:tableColumn id="2" name="Action"/>
    <x:tableColumn id="3" name="Control"/>
    <x:tableColumn id="4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Assumptions" displayName="MaAssumptions" ref="A4:H8" headerRowCount="1" totalsRowCount="0" totalsRowShown="0">
  <x:tableColumns count="8">
    <x:tableColumn id="1" name="ID"/>
    <x:tableColumn id="2" name="Variable"/>
    <x:tableColumn id="3" name="Value"/>
    <x:tableColumn id="4" name="Unit"/>
    <x:tableColumn id="5" name="Class"/>
    <x:tableColumn id="6" name="Validation"/>
    <x:tableColumn id="7" name="Owner"/>
    <x:tableColumn id="8" name="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aid" displayName="MaRaid" ref="A4:K8" headerRowCount="1" totalsRowCount="0" totalsRowShown="0">
  <x:tableColumns count="11">
    <x:tableColumn id="1" name="ID"/>
    <x:tableColumn id="2" name="Type"/>
    <x:tableColumn id="3" name="Statement"/>
    <x:tableColumn id="4" name="P"/>
    <x:tableColumn id="5" name="I"/>
    <x:tableColumn id="6" name="Score"/>
    <x:tableColumn id="7" name="Response"/>
    <x:tableColumn id="8" name="Owner"/>
    <x:tableColumn id="9" name="Due"/>
    <x:tableColumn id="10" name="Status"/>
    <x:tableColumn id="11" name="Trigg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Day1" displayName="MaDay1" ref="A4:H9" headerRowCount="1" totalsRowCount="0" totalsRowShown="0">
  <x:tableColumns count="8">
    <x:tableColumn id="1" name="Cohort"/>
    <x:tableColumn id="2" name="Population"/>
    <x:tableColumn id="3" name="Fully ready"/>
    <x:tableColumn id="4" name="Authentication"/>
    <x:tableColumn id="5" name="Exceptions"/>
    <x:tableColumn id="6" name="Owner"/>
    <x:tableColumn id="7" name="Evidence"/>
    <x:tableColumn id="8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Apps" displayName="MaApps" ref="A4:J9" headerRowCount="1" totalsRowCount="0" totalsRowShown="0">
  <x:tableColumns count="10">
    <x:tableColumn id="1" name="App"/>
    <x:tableColumn id="2" name="Tier"/>
    <x:tableColumn id="3" name="Users"/>
    <x:tableColumn id="4" name="Company ABC"/>
    <x:tableColumn id="5" name="Company XYZ"/>
    <x:tableColumn id="6" name="Disposition"/>
    <x:tableColumn id="7" name="Owner"/>
    <x:tableColumn id="8" name="Contract action"/>
    <x:tableColumn id="9" name="Exit evidence"/>
    <x:tableColumn id="10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Validation" displayName="MaValidation" ref="A4:J8" headerRowCount="1" totalsRowCount="0" totalsRowShown="0">
  <x:tableColumns count="10">
    <x:tableColumn id="1" name="Platform"/>
    <x:tableColumn id="2" name="Cohort"/>
    <x:tableColumn id="3" name="Source objects"/>
    <x:tableColumn id="4" name="Target objects"/>
    <x:tableColumn id="5" name="Reconciled %"/>
    <x:tableColumn id="6" name="Permissions"/>
    <x:tableColumn id="7" name="Integrations"/>
    <x:tableColumn id="8" name="Business test"/>
    <x:tableColumn id="9" name="Decision"/>
    <x:tableColumn id="10" name="Evidence 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Budget" displayName="MaBudget" ref="A4:H9" headerRowCount="1" totalsRowCount="0" totalsRowShown="0">
  <x:tableColumns count="8">
    <x:tableColumn id="1" name="Control account"/>
    <x:tableColumn id="2" name="Baseline"/>
    <x:tableColumn id="3" name="Forecast"/>
    <x:tableColumn id="4" name="Actual to date"/>
    <x:tableColumn id="5" name="ETC"/>
    <x:tableColumn id="6" name="Variance"/>
    <x:tableColumn id="7" name="Owner"/>
    <x:tableColumn id="8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Sources" displayName="MaSources" ref="A4:F11" headerRowCount="1" totalsRowCount="0" totalsRowShown="0">
  <x:tableColumns count="6">
    <x:tableColumn id="1" name="Publisher"/>
    <x:tableColumn id="2" name="Source"/>
    <x:tableColumn id="3" name="URL"/>
    <x:tableColumn id="4" name="Use"/>
    <x:tableColumn id="5" name="Accessed"/>
    <x:tableColumn id="6" name="Author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Blank" displayName="MaBlank" ref="A4:I5" headerRowCount="1" totalsRowCount="0" totalsRowShown="0">
  <x:tableColumns count="9">
    <x:tableColumn id="1" name="ID"/>
    <x:tableColumn id="2" name="Item"/>
    <x:tableColumn id="3" name="Owner"/>
    <x:tableColumn id="4" name="Due"/>
    <x:tableColumn id="5" name="State"/>
    <x:tableColumn id="6" name="Acceptance"/>
    <x:tableColumn id="7" name="Evidence"/>
    <x:tableColumn id="8" name="Decision"/>
    <x:tableColumn id="9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AgileControls" displayName="MaAgile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aPredControls" displayName="MaPred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cf00af3dfa41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2ae367ba8e47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82374ca851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381a9fadbc46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4b8f9710d64b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2977a1d91747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5f0992bc5bf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1b4ff38b7ab4d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6cddaae59dd45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a74b38d1f77848b3" /><Relationship Type="http://schemas.openxmlformats.org/officeDocument/2006/relationships/table" Target="/xl/tables/table10.xml" Id="R597eefceda3242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1d07e52c570d4e87" /><Relationship Type="http://schemas.openxmlformats.org/officeDocument/2006/relationships/table" Target="/xl/tables/table11.xml" Id="R035af47e7e6548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42" hidden="0" customWidth="1"/>
    <x:col min="4" max="4" width="38" hidden="0" customWidth="1"/>
  </x:cols>
  <x:sheetData>
    <x:row r="1" ht="30" customHeight="1">
      <x:c r="A1" s="3" t="str">
        <x:v>M&amp;A integration workbook instructions</x:v>
      </x:c>
      <x:c r="B1" s="3"/>
      <x:c r="C1" s="3"/>
      <x:c r="D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</x:row>
    <x:row r="4" ht="28" customHeight="1">
      <x:c r="A4" s="9" t="str">
        <x:v>Step</x:v>
      </x:c>
      <x:c r="B4" s="9" t="str">
        <x:v>Action</x:v>
      </x:c>
      <x:c r="C4" s="9" t="str">
        <x:v>Control</x:v>
      </x:c>
      <x:c r="D4" s="9" t="str">
        <x:v>Evidence</x:v>
      </x:c>
    </x:row>
    <x:row r="5">
      <x:c r="A5" s="23" t="n">
        <x:v>1</x:v>
      </x:c>
      <x:c r="B5" s="24" t="str">
        <x:v>Replace scenario assumptions with authorized deal records.</x:v>
      </x:c>
      <x:c r="C5" s="24" t="str">
        <x:v>Do not type over dashboard formulas.</x:v>
      </x:c>
      <x:c r="D5" s="25" t="str">
        <x:v>Signed charter and source exports</x:v>
      </x:c>
    </x:row>
    <x:row r="6">
      <x:c r="A6" s="26" t="n">
        <x:v>2</x:v>
      </x:c>
      <x:c r="B6" s="27" t="str">
        <x:v>Reconcile roster, identity, device, app, content, contract, and site denominators.</x:v>
      </x:c>
      <x:c r="C6" s="27" t="str">
        <x:v>Unknown or unowned exceptions block affected release.</x:v>
      </x:c>
      <x:c r="D6" s="28" t="str">
        <x:v>Dated reconciliation package</x:v>
      </x:c>
    </x:row>
    <x:row r="7">
      <x:c r="A7" s="26" t="n">
        <x:v>3</x:v>
      </x:c>
      <x:c r="B7" s="27" t="str">
        <x:v>Update registers first; dashboards summarize them.</x:v>
      </x:c>
      <x:c r="C7" s="27" t="str">
        <x:v>A tool success message is not acceptance.</x:v>
      </x:c>
      <x:c r="D7" s="28" t="str">
        <x:v>Counts, samples, permissions, workflows</x:v>
      </x:c>
    </x:row>
    <x:row r="8">
      <x:c r="A8" s="26" t="n">
        <x:v>4</x:v>
      </x:c>
      <x:c r="B8" s="27" t="str">
        <x:v>Export a dated decision pack at each gate or Sprint review.</x:v>
      </x:c>
      <x:c r="C8" s="27" t="str">
        <x:v>Human approvers retain decision authority.</x:v>
      </x:c>
      <x:c r="D8" s="28" t="str">
        <x:v>Signed decision log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8cf00af3dfa41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5" hidden="0" customWidth="1"/>
    <x:col min="4" max="4" width="14" hidden="0" customWidth="1"/>
    <x:col min="5" max="5" width="22" hidden="0" customWidth="1"/>
    <x:col min="6" max="6" width="45" hidden="0" customWidth="1"/>
    <x:col min="7" max="7" width="20" hidden="0" customWidth="1"/>
    <x:col min="8" max="8" width="15" hidden="0" customWidth="1"/>
  </x:cols>
  <x:sheetData>
    <x:row r="1" ht="30" customHeight="1">
      <x:c r="A1" s="3" t="str">
        <x:v>Scenario assumptions and truth boundary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ID</x:v>
      </x:c>
      <x:c r="B4" s="9" t="str">
        <x:v>Variable</x:v>
      </x:c>
      <x:c r="C4" s="9" t="str">
        <x:v>Value</x:v>
      </x:c>
      <x:c r="D4" s="9" t="str">
        <x:v>Unit</x:v>
      </x:c>
      <x:c r="E4" s="9" t="str">
        <x:v>Class</x:v>
      </x:c>
      <x:c r="F4" s="9" t="str">
        <x:v>Validation</x:v>
      </x:c>
      <x:c r="G4" s="9" t="str">
        <x:v>Owner</x:v>
      </x:c>
      <x:c r="H4" s="9" t="str">
        <x:v>State</x:v>
      </x:c>
    </x:row>
    <x:row r="5">
      <x:c r="A5" s="23" t="str">
        <x:v>MA-A-001</x:v>
      </x:c>
      <x:c r="B5" s="24" t="str">
        <x:v>Workers</x:v>
      </x:c>
      <x:c r="C5" s="24" t="n">
        <x:v>680</x:v>
      </x:c>
      <x:c r="D5" s="24" t="str">
        <x:v>people</x:v>
      </x:c>
      <x:c r="E5" s="24" t="str">
        <x:v>Scenario assumption</x:v>
      </x:c>
      <x:c r="F5" s="24" t="str">
        <x:v>Reconcile HR rosters at T-10/T-3/T-0</x:v>
      </x:c>
      <x:c r="G5" s="24" t="str">
        <x:v>HR/Identity Lead</x:v>
      </x:c>
      <x:c r="H5" s="25" t="str">
        <x:v>Modeled</x:v>
      </x:c>
    </x:row>
    <x:row r="6">
      <x:c r="A6" s="26" t="str">
        <x:v>MA-A-002</x:v>
      </x:c>
      <x:c r="B6" s="27" t="str">
        <x:v>Endpoints</x:v>
      </x:c>
      <x:c r="C6" s="27" t="n">
        <x:v>745</x:v>
      </x:c>
      <x:c r="D6" s="27" t="str">
        <x:v>devices</x:v>
      </x:c>
      <x:c r="E6" s="27" t="str">
        <x:v>Scenario assumption</x:v>
      </x:c>
      <x:c r="F6" s="27" t="str">
        <x:v>Reconcile MDM/CMDB/procurement</x:v>
      </x:c>
      <x:c r="G6" s="27" t="str">
        <x:v>Endpoint Lead</x:v>
      </x:c>
      <x:c r="H6" s="28" t="str">
        <x:v>Modeled</x:v>
      </x:c>
    </x:row>
    <x:row r="7">
      <x:c r="A7" s="26" t="str">
        <x:v>MA-A-003</x:v>
      </x:c>
      <x:c r="B7" s="27" t="str">
        <x:v>Applications</x:v>
      </x:c>
      <x:c r="C7" s="27" t="n">
        <x:v>142</x:v>
      </x:c>
      <x:c r="D7" s="27" t="str">
        <x:v>apps</x:v>
      </x:c>
      <x:c r="E7" s="27" t="str">
        <x:v>Scenario assumption</x:v>
      </x:c>
      <x:c r="F7" s="27" t="str">
        <x:v>SSO/finance/CASB/interviews</x:v>
      </x:c>
      <x:c r="G7" s="27" t="str">
        <x:v>App Lead</x:v>
      </x:c>
      <x:c r="H7" s="28" t="str">
        <x:v>Modeled</x:v>
      </x:c>
    </x:row>
    <x:row r="8">
      <x:c r="A8" s="26" t="str">
        <x:v>MA-A-004</x:v>
      </x:c>
      <x:c r="B8" s="27" t="str">
        <x:v>Authorized budget</x:v>
      </x:c>
      <x:c r="C8" s="29" t="n">
        <x:v>1860000</x:v>
      </x:c>
      <x:c r="D8" s="27" t="str">
        <x:v>USD</x:v>
      </x:c>
      <x:c r="E8" s="27" t="str">
        <x:v>Scenario assumption</x:v>
      </x:c>
      <x:c r="F8" s="27" t="str">
        <x:v>Finance-approved baseline</x:v>
      </x:c>
      <x:c r="G8" s="27" t="str">
        <x:v>Finance Lead</x:v>
      </x:c>
      <x:c r="H8" s="28" t="str">
        <x:v>Modeled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02ae367ba8e47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42" hidden="0" customWidth="1"/>
    <x:col min="4" max="4" width="8" hidden="0" customWidth="1"/>
    <x:col min="5" max="5" width="8" hidden="0" customWidth="1"/>
    <x:col min="6" max="6" width="10" hidden="0" customWidth="1"/>
    <x:col min="7" max="7" width="42" hidden="0" customWidth="1"/>
    <x:col min="8" max="8" width="20" hidden="0" customWidth="1"/>
    <x:col min="9" max="9" width="15" hidden="0" customWidth="1"/>
    <x:col min="10" max="10" width="15" hidden="0" customWidth="1"/>
    <x:col min="11" max="11" width="30" hidden="0" customWidth="1"/>
  </x:cols>
  <x:sheetData>
    <x:row r="1" ht="30" customHeight="1">
      <x:c r="A1" s="3" t="str">
        <x:v>M&amp;A RAID and decision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9" t="str">
        <x:v>ID</x:v>
      </x:c>
      <x:c r="B4" s="9" t="str">
        <x:v>Type</x:v>
      </x:c>
      <x:c r="C4" s="9" t="str">
        <x:v>Statement</x:v>
      </x:c>
      <x:c r="D4" s="9" t="str">
        <x:v>P</x:v>
      </x:c>
      <x:c r="E4" s="9" t="str">
        <x:v>I</x:v>
      </x:c>
      <x:c r="F4" s="9" t="str">
        <x:v>Score</x:v>
      </x:c>
      <x:c r="G4" s="9" t="str">
        <x:v>Response</x:v>
      </x:c>
      <x:c r="H4" s="9" t="str">
        <x:v>Owner</x:v>
      </x:c>
      <x:c r="I4" s="9" t="str">
        <x:v>Due</x:v>
      </x:c>
      <x:c r="J4" s="9" t="str">
        <x:v>Status</x:v>
      </x:c>
      <x:c r="K4" s="9" t="str">
        <x:v>Trigger</x:v>
      </x:c>
    </x:row>
    <x:row r="5">
      <x:c r="A5" s="23" t="str">
        <x:v>MA-R-001</x:v>
      </x:c>
      <x:c r="B5" s="24" t="str">
        <x:v>Risk</x:v>
      </x:c>
      <x:c r="C5" s="24" t="str">
        <x:v>Identity duplicates or stale contractors create access failures.</x:v>
      </x:c>
      <x:c r="D5" s="24" t="n">
        <x:v>4</x:v>
      </x:c>
      <x:c r="E5" s="24" t="n">
        <x:v>5</x:v>
      </x:c>
      <x:c r="F5" s="24" t="n">
        <x:v>20</x:v>
      </x:c>
      <x:c r="G5" s="24" t="str">
        <x:v>T-10/T-3/T-0 reconcile; disable destinations until release.</x:v>
      </x:c>
      <x:c r="H5" s="24" t="str">
        <x:v>Identity Lead</x:v>
      </x:c>
      <x:c r="I5" s="24" t="str">
        <x:v>2026-09-04</x:v>
      </x:c>
      <x:c r="J5" s="24" t="str">
        <x:v>Open</x:v>
      </x:c>
      <x:c r="K5" s="25" t="str">
        <x:v>Mismatch &gt;1%</x:v>
      </x:c>
    </x:row>
    <x:row r="6">
      <x:c r="A6" s="26" t="str">
        <x:v>MA-R-002</x:v>
      </x:c>
      <x:c r="B6" s="27" t="str">
        <x:v>Risk</x:v>
      </x:c>
      <x:c r="C6" s="27" t="str">
        <x:v>Overlapping subnets disrupt routing or DNS.</x:v>
      </x:c>
      <x:c r="D6" s="27" t="n">
        <x:v>3</x:v>
      </x:c>
      <x:c r="E6" s="27" t="n">
        <x:v>5</x:v>
      </x:c>
      <x:c r="F6" s="27" t="n">
        <x:v>15</x:v>
      </x:c>
      <x:c r="G6" s="27" t="str">
        <x:v>NAT/renumber; isolate; validate route withdrawal.</x:v>
      </x:c>
      <x:c r="H6" s="27" t="str">
        <x:v>Network Lead</x:v>
      </x:c>
      <x:c r="I6" s="27" t="str">
        <x:v>2026-09-11</x:v>
      </x:c>
      <x:c r="J6" s="27" t="str">
        <x:v>Watching</x:v>
      </x:c>
      <x:c r="K6" s="28" t="str">
        <x:v>Unresolved collision</x:v>
      </x:c>
    </x:row>
    <x:row r="7">
      <x:c r="A7" s="26" t="str">
        <x:v>MA-R-003</x:v>
      </x:c>
      <x:c r="B7" s="27" t="str">
        <x:v>Risk</x:v>
      </x:c>
      <x:c r="C7" s="27" t="str">
        <x:v>Collaboration permissions, holds, or integrations differ.</x:v>
      </x:c>
      <x:c r="D7" s="27" t="n">
        <x:v>3</x:v>
      </x:c>
      <x:c r="E7" s="27" t="n">
        <x:v>5</x:v>
      </x:c>
      <x:c r="F7" s="27" t="n">
        <x:v>15</x:v>
      </x:c>
      <x:c r="G7" s="27" t="str">
        <x:v>Identity-first mapping; legal review; pilot and reconcile.</x:v>
      </x:c>
      <x:c r="H7" s="27" t="str">
        <x:v>Collab Lead</x:v>
      </x:c>
      <x:c r="I7" s="27" t="str">
        <x:v>2026-09-18</x:v>
      </x:c>
      <x:c r="J7" s="27" t="str">
        <x:v>Open</x:v>
      </x:c>
      <x:c r="K7" s="28" t="str">
        <x:v>Variance &lt;99.5%</x:v>
      </x:c>
    </x:row>
    <x:row r="8">
      <x:c r="A8" s="26" t="str">
        <x:v>MA-I-004</x:v>
      </x:c>
      <x:c r="B8" s="27" t="str">
        <x:v>Issue</x:v>
      </x:c>
      <x:c r="C8" s="27" t="str">
        <x:v>Fifteen Day 1 readiness exceptions remain.</x:v>
      </x:c>
      <x:c r="D8" s="27" t="n">
        <x:v>3</x:v>
      </x:c>
      <x:c r="E8" s="27" t="n">
        <x:v>5</x:v>
      </x:c>
      <x:c r="F8" s="27" t="n">
        <x:v>15</x:v>
      </x:c>
      <x:c r="G8" s="27" t="str">
        <x:v>Named workaround, owner, expiry, and daily burn-down.</x:v>
      </x:c>
      <x:c r="H8" s="27" t="str">
        <x:v>Day 1 Lead</x:v>
      </x:c>
      <x:c r="I8" s="27" t="str">
        <x:v>2026-09-28</x:v>
      </x:c>
      <x:c r="J8" s="27" t="str">
        <x:v>Open</x:v>
      </x:c>
      <x:c r="K8" s="28" t="str">
        <x:v>Exception unowned</x:v>
      </x:c>
    </x:row>
  </x:sheetData>
  <x:mergeCells>
    <x:mergeCell ref="A1:K1"/>
    <x:mergeCell ref="A2:K2"/>
  </x:mergeCells>
  <x:dataValidations count="1">
    <x:dataValidation type="list" sqref="J5:J100">
      <x:formula1>"Open,Watching,Closed"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82374ca851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7" hidden="0" customWidth="1"/>
    <x:col min="5" max="5" width="14" hidden="0" customWidth="1"/>
    <x:col min="6" max="6" width="20" hidden="0" customWidth="1"/>
    <x:col min="7" max="7" width="34" hidden="0" customWidth="1"/>
    <x:col min="8" max="8" width="16" hidden="0" customWidth="1"/>
  </x:cols>
  <x:sheetData>
    <x:row r="1" ht="30" customHeight="1">
      <x:c r="A1" s="3" t="str">
        <x:v>Day 1 worker readiness by cohort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Cohort</x:v>
      </x:c>
      <x:c r="B4" s="9" t="str">
        <x:v>Population</x:v>
      </x:c>
      <x:c r="C4" s="9" t="str">
        <x:v>Fully ready</x:v>
      </x:c>
      <x:c r="D4" s="9" t="str">
        <x:v>Authentication</x:v>
      </x:c>
      <x:c r="E4" s="9" t="str">
        <x:v>Exceptions</x:v>
      </x:c>
      <x:c r="F4" s="9" t="str">
        <x:v>Owner</x:v>
      </x:c>
      <x:c r="G4" s="9" t="str">
        <x:v>Evidence</x:v>
      </x:c>
      <x:c r="H4" s="9" t="str">
        <x:v>State</x:v>
      </x:c>
    </x:row>
    <x:row r="5">
      <x:c r="A5" s="23" t="str">
        <x:v>HQ Site A</x:v>
      </x:c>
      <x:c r="B5" s="24" t="n">
        <x:v>280</x:v>
      </x:c>
      <x:c r="C5" s="24" t="n">
        <x:v>272</x:v>
      </x:c>
      <x:c r="D5" s="24" t="n">
        <x:v>276</x:v>
      </x:c>
      <x:c r="E5" s="24" t="n">
        <x:v>8</x:v>
      </x:c>
      <x:c r="F5" s="24" t="str">
        <x:v>Site Lead A</x:v>
      </x:c>
      <x:c r="G5" s="24" t="str">
        <x:v>Roster/device/access/support</x:v>
      </x:c>
      <x:c r="H5" s="25" t="str">
        <x:v>Conditional</x:v>
      </x:c>
    </x:row>
    <x:row r="6">
      <x:c r="A6" s="26" t="str">
        <x:v>Office Site B</x:v>
      </x:c>
      <x:c r="B6" s="27" t="n">
        <x:v>190</x:v>
      </x:c>
      <x:c r="C6" s="27" t="n">
        <x:v>186</x:v>
      </x:c>
      <x:c r="D6" s="27" t="n">
        <x:v>188</x:v>
      </x:c>
      <x:c r="E6" s="27" t="n">
        <x:v>4</x:v>
      </x:c>
      <x:c r="F6" s="27" t="str">
        <x:v>Site Lead B</x:v>
      </x:c>
      <x:c r="G6" s="27" t="str">
        <x:v>Roster/device/access/support</x:v>
      </x:c>
      <x:c r="H6" s="28" t="str">
        <x:v>Conditional</x:v>
      </x:c>
    </x:row>
    <x:row r="7">
      <x:c r="A7" s="26" t="str">
        <x:v>Office Site C</x:v>
      </x:c>
      <x:c r="B7" s="27" t="n">
        <x:v>110</x:v>
      </x:c>
      <x:c r="C7" s="27" t="n">
        <x:v>107</x:v>
      </x:c>
      <x:c r="D7" s="27" t="n">
        <x:v>110</x:v>
      </x:c>
      <x:c r="E7" s="27" t="n">
        <x:v>3</x:v>
      </x:c>
      <x:c r="F7" s="27" t="str">
        <x:v>Site Lead C</x:v>
      </x:c>
      <x:c r="G7" s="27" t="str">
        <x:v>Roster/device/access/support</x:v>
      </x:c>
      <x:c r="H7" s="28" t="str">
        <x:v>Conditional</x:v>
      </x:c>
    </x:row>
    <x:row r="8">
      <x:c r="A8" s="26" t="str">
        <x:v>Remote</x:v>
      </x:c>
      <x:c r="B8" s="27" t="n">
        <x:v>100</x:v>
      </x:c>
      <x:c r="C8" s="27" t="n">
        <x:v>100</x:v>
      </x:c>
      <x:c r="D8" s="27" t="n">
        <x:v>100</x:v>
      </x:c>
      <x:c r="E8" s="27" t="n">
        <x:v>0</x:v>
      </x:c>
      <x:c r="F8" s="27" t="str">
        <x:v>Remote Lead</x:v>
      </x:c>
      <x:c r="G8" s="27" t="str">
        <x:v>Courier/virtual support</x:v>
      </x:c>
      <x:c r="H8" s="28" t="str">
        <x:v>Ready</x:v>
      </x:c>
    </x:row>
    <x:row r="9">
      <x:c r="A9" s="26" t="str">
        <x:v>Total</x:v>
      </x:c>
      <x:c r="B9" s="27" t="n">
        <x:v>680</x:v>
      </x:c>
      <x:c r="C9" s="27" t="n">
        <x:v>665</x:v>
      </x:c>
      <x:c r="D9" s="27" t="n">
        <x:v>674</x:v>
      </x:c>
      <x:c r="E9" s="27" t="n">
        <x:v>15</x:v>
      </x:c>
      <x:c r="F9" s="27" t="str">
        <x:v>Day 1 Lead</x:v>
      </x:c>
      <x:c r="G9" s="27" t="str">
        <x:v>Formula check</x:v>
      </x:c>
      <x:c r="H9" s="28" t="str">
        <x:v>Conditional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b381a9fadbc46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2" hidden="0" customWidth="1"/>
    <x:col min="4" max="4" width="22" hidden="0" customWidth="1"/>
    <x:col min="5" max="5" width="22" hidden="0" customWidth="1"/>
    <x:col min="6" max="6" width="24" hidden="0" customWidth="1"/>
    <x:col min="7" max="7" width="20" hidden="0" customWidth="1"/>
    <x:col min="8" max="8" width="25" hidden="0" customWidth="1"/>
    <x:col min="9" max="9" width="38" hidden="0" customWidth="1"/>
    <x:col min="10" max="10" width="16" hidden="0" customWidth="1"/>
  </x:cols>
  <x:sheetData>
    <x:row r="1" ht="30" customHeight="1">
      <x:c r="A1" s="3" t="str">
        <x:v>Application rationalization decisions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9" t="str">
        <x:v>App</x:v>
      </x:c>
      <x:c r="B4" s="9" t="str">
        <x:v>Tier</x:v>
      </x:c>
      <x:c r="C4" s="9" t="str">
        <x:v>Users</x:v>
      </x:c>
      <x:c r="D4" s="9" t="str">
        <x:v>Company ABC</x:v>
      </x:c>
      <x:c r="E4" s="9" t="str">
        <x:v>Company XYZ</x:v>
      </x:c>
      <x:c r="F4" s="9" t="str">
        <x:v>Disposition</x:v>
      </x:c>
      <x:c r="G4" s="9" t="str">
        <x:v>Owner</x:v>
      </x:c>
      <x:c r="H4" s="9" t="str">
        <x:v>Contract action</x:v>
      </x:c>
      <x:c r="I4" s="9" t="str">
        <x:v>Exit evidence</x:v>
      </x:c>
      <x:c r="J4" s="9" t="str">
        <x:v>State</x:v>
      </x:c>
    </x:row>
    <x:row r="5">
      <x:c r="A5" s="23" t="str">
        <x:v>Identity directory</x:v>
      </x:c>
      <x:c r="B5" s="24" t="n">
        <x:v>0</x:v>
      </x:c>
      <x:c r="C5" s="24" t="n">
        <x:v>680</x:v>
      </x:c>
      <x:c r="D5" s="24" t="str">
        <x:v>Target</x:v>
      </x:c>
      <x:c r="E5" s="24" t="str">
        <x:v>Source</x:v>
      </x:c>
      <x:c r="F5" s="24" t="str">
        <x:v>Migrate/converge</x:v>
      </x:c>
      <x:c r="G5" s="24" t="str">
        <x:v>Identity Lead</x:v>
      </x:c>
      <x:c r="H5" s="24" t="str">
        <x:v>Retain bridge temporarily</x:v>
      </x:c>
      <x:c r="I5" s="24" t="str">
        <x:v>Roster/access/log tests</x:v>
      </x:c>
      <x:c r="J5" s="25" t="str">
        <x:v>In progress</x:v>
      </x:c>
    </x:row>
    <x:row r="6">
      <x:c r="A6" s="26" t="str">
        <x:v>Productivity suite</x:v>
      </x:c>
      <x:c r="B6" s="27" t="n">
        <x:v>0</x:v>
      </x:c>
      <x:c r="C6" s="27" t="n">
        <x:v>610</x:v>
      </x:c>
      <x:c r="D6" s="27" t="str">
        <x:v>Google Workspace</x:v>
      </x:c>
      <x:c r="E6" s="27" t="str">
        <x:v>Google Workspace</x:v>
      </x:c>
      <x:c r="F6" s="27" t="str">
        <x:v>Cross-domain migrate</x:v>
      </x:c>
      <x:c r="G6" s="27" t="str">
        <x:v>Collab Lead</x:v>
      </x:c>
      <x:c r="H6" s="27" t="str">
        <x:v>Consolidate licensing</x:v>
      </x:c>
      <x:c r="I6" s="27" t="str">
        <x:v>Count/sample/permission acceptance</x:v>
      </x:c>
      <x:c r="J6" s="28" t="str">
        <x:v>Pilot</x:v>
      </x:c>
    </x:row>
    <x:row r="7">
      <x:c r="A7" s="26" t="str">
        <x:v>Messaging</x:v>
      </x:c>
      <x:c r="B7" s="27" t="n">
        <x:v>1</x:v>
      </x:c>
      <x:c r="C7" s="27" t="n">
        <x:v>520</x:v>
      </x:c>
      <x:c r="D7" s="27" t="str">
        <x:v>Slack Enterprise</x:v>
      </x:c>
      <x:c r="E7" s="27" t="str">
        <x:v>Slack</x:v>
      </x:c>
      <x:c r="F7" s="27" t="str">
        <x:v>Consolidate</x:v>
      </x:c>
      <x:c r="G7" s="27" t="str">
        <x:v>Collab Lead</x:v>
      </x:c>
      <x:c r="H7" s="27" t="str">
        <x:v>Retire source contract</x:v>
      </x:c>
      <x:c r="I7" s="27" t="str">
        <x:v>Channel/history/app acceptance</x:v>
      </x:c>
      <x:c r="J7" s="28" t="str">
        <x:v>Pilot</x:v>
      </x:c>
    </x:row>
    <x:row r="8">
      <x:c r="A8" s="26" t="str">
        <x:v>Work management</x:v>
      </x:c>
      <x:c r="B8" s="27" t="n">
        <x:v>1</x:v>
      </x:c>
      <x:c r="C8" s="27" t="n">
        <x:v>280</x:v>
      </x:c>
      <x:c r="D8" s="27" t="str">
        <x:v>Asana</x:v>
      </x:c>
      <x:c r="E8" s="27" t="str">
        <x:v>Asana</x:v>
      </x:c>
      <x:c r="F8" s="27" t="str">
        <x:v>Migrate projects</x:v>
      </x:c>
      <x:c r="G8" s="27" t="str">
        <x:v>Business Apps</x:v>
      </x:c>
      <x:c r="H8" s="27" t="str">
        <x:v>Consolidate</x:v>
      </x:c>
      <x:c r="I8" s="27" t="str">
        <x:v>Project/task/field reconciliation</x:v>
      </x:c>
      <x:c r="J8" s="28" t="str">
        <x:v>Planned</x:v>
      </x:c>
    </x:row>
    <x:row r="9">
      <x:c r="A9" s="26" t="str">
        <x:v>Engineering work</x:v>
      </x:c>
      <x:c r="B9" s="27" t="n">
        <x:v>0</x:v>
      </x:c>
      <x:c r="C9" s="27" t="n">
        <x:v>190</x:v>
      </x:c>
      <x:c r="D9" s="27" t="str">
        <x:v>Jira</x:v>
      </x:c>
      <x:c r="E9" s="27" t="str">
        <x:v>Jira</x:v>
      </x:c>
      <x:c r="F9" s="27" t="str">
        <x:v>Migrate after defect fix</x:v>
      </x:c>
      <x:c r="G9" s="27" t="str">
        <x:v>Engineering Apps</x:v>
      </x:c>
      <x:c r="H9" s="27" t="str">
        <x:v>Consolidate</x:v>
      </x:c>
      <x:c r="I9" s="27" t="str">
        <x:v>Group/workflow regression</x:v>
      </x:c>
      <x:c r="J9" s="28" t="str">
        <x:v>Hold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d4b8f9710d64b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0" hidden="0" customWidth="1"/>
    <x:col min="8" max="8" width="18" hidden="0" customWidth="1"/>
    <x:col min="9" max="9" width="25" hidden="0" customWidth="1"/>
    <x:col min="10" max="10" width="20" hidden="0" customWidth="1"/>
  </x:cols>
  <x:sheetData>
    <x:row r="1" ht="30" customHeight="1">
      <x:c r="A1" s="3" t="str">
        <x:v>Collaboration and data migration validation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9" t="str">
        <x:v>Platform</x:v>
      </x:c>
      <x:c r="B4" s="9" t="str">
        <x:v>Cohort</x:v>
      </x:c>
      <x:c r="C4" s="9" t="str">
        <x:v>Source objects</x:v>
      </x:c>
      <x:c r="D4" s="9" t="str">
        <x:v>Target objects</x:v>
      </x:c>
      <x:c r="E4" s="9" t="str">
        <x:v>Reconciled %</x:v>
      </x:c>
      <x:c r="F4" s="9" t="str">
        <x:v>Permissions</x:v>
      </x:c>
      <x:c r="G4" s="9" t="str">
        <x:v>Integrations</x:v>
      </x:c>
      <x:c r="H4" s="9" t="str">
        <x:v>Business test</x:v>
      </x:c>
      <x:c r="I4" s="9" t="str">
        <x:v>Decision</x:v>
      </x:c>
      <x:c r="J4" s="9" t="str">
        <x:v>Evidence owner</x:v>
      </x:c>
    </x:row>
    <x:row r="5">
      <x:c r="A5" s="23" t="str">
        <x:v>Google Workspace</x:v>
      </x:c>
      <x:c r="B5" s="24" t="str">
        <x:v>Pilot</x:v>
      </x:c>
      <x:c r="C5" s="24" t="n">
        <x:v>125000</x:v>
      </x:c>
      <x:c r="D5" s="24" t="n">
        <x:v>124625</x:v>
      </x:c>
      <x:c r="E5" s="30" t="n">
        <x:v>0.997</x:v>
      </x:c>
      <x:c r="F5" s="24" t="str">
        <x:v>Pass</x:v>
      </x:c>
      <x:c r="G5" s="24" t="str">
        <x:v>Pass</x:v>
      </x:c>
      <x:c r="H5" s="24" t="str">
        <x:v>Pass</x:v>
      </x:c>
      <x:c r="I5" s="24" t="str">
        <x:v>Accept pilot</x:v>
      </x:c>
      <x:c r="J5" s="25" t="str">
        <x:v>Collab Lead</x:v>
      </x:c>
    </x:row>
    <x:row r="6">
      <x:c r="A6" s="26" t="str">
        <x:v>Slack</x:v>
      </x:c>
      <x:c r="B6" s="27" t="str">
        <x:v>Pilot</x:v>
      </x:c>
      <x:c r="C6" s="27" t="n">
        <x:v>286</x:v>
      </x:c>
      <x:c r="D6" s="27" t="n">
        <x:v>284</x:v>
      </x:c>
      <x:c r="E6" s="31" t="n">
        <x:v>0.993</x:v>
      </x:c>
      <x:c r="F6" s="27" t="str">
        <x:v>Pass</x:v>
      </x:c>
      <x:c r="G6" s="27" t="str">
        <x:v>2 defects</x:v>
      </x:c>
      <x:c r="H6" s="27" t="str">
        <x:v>Conditional</x:v>
      </x:c>
      <x:c r="I6" s="27" t="str">
        <x:v>Hold affected channels</x:v>
      </x:c>
      <x:c r="J6" s="28" t="str">
        <x:v>Collab Lead</x:v>
      </x:c>
    </x:row>
    <x:row r="7">
      <x:c r="A7" s="26" t="str">
        <x:v>Asana</x:v>
      </x:c>
      <x:c r="B7" s="27" t="str">
        <x:v>Pilot</x:v>
      </x:c>
      <x:c r="C7" s="27" t="n">
        <x:v>8200</x:v>
      </x:c>
      <x:c r="D7" s="27" t="n">
        <x:v>8175</x:v>
      </x:c>
      <x:c r="E7" s="31" t="n">
        <x:v>0.997</x:v>
      </x:c>
      <x:c r="F7" s="27" t="str">
        <x:v>Pass</x:v>
      </x:c>
      <x:c r="G7" s="27" t="str">
        <x:v>Pass</x:v>
      </x:c>
      <x:c r="H7" s="27" t="str">
        <x:v>Pass</x:v>
      </x:c>
      <x:c r="I7" s="27" t="str">
        <x:v>Accept pilot</x:v>
      </x:c>
      <x:c r="J7" s="28" t="str">
        <x:v>Business Apps</x:v>
      </x:c>
    </x:row>
    <x:row r="8">
      <x:c r="A8" s="26" t="str">
        <x:v>Jira</x:v>
      </x:c>
      <x:c r="B8" s="27" t="str">
        <x:v>Pilot</x:v>
      </x:c>
      <x:c r="C8" s="27" t="n">
        <x:v>6400</x:v>
      </x:c>
      <x:c r="D8" s="27" t="n">
        <x:v>6320</x:v>
      </x:c>
      <x:c r="E8" s="31" t="n">
        <x:v>0.988</x:v>
      </x:c>
      <x:c r="F8" s="27" t="str">
        <x:v>Group variance</x:v>
      </x:c>
      <x:c r="G8" s="27" t="str">
        <x:v>Automation defect</x:v>
      </x:c>
      <x:c r="H8" s="27" t="str">
        <x:v>Fail</x:v>
      </x:c>
      <x:c r="I8" s="27" t="str">
        <x:v>Hold production</x:v>
      </x:c>
      <x:c r="J8" s="28" t="str">
        <x:v>Engineering Apps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c2977a1d91747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34" hidden="0" customWidth="1"/>
  </x:cols>
  <x:sheetData>
    <x:row r="1" ht="30" customHeight="1">
      <x:c r="A1" s="3" t="str">
        <x:v>M&amp;A cost baseline and forecast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Control account</x:v>
      </x:c>
      <x:c r="B4" s="9" t="str">
        <x:v>Baseline</x:v>
      </x:c>
      <x:c r="C4" s="9" t="str">
        <x:v>Forecast</x:v>
      </x:c>
      <x:c r="D4" s="9" t="str">
        <x:v>Actual to date</x:v>
      </x:c>
      <x:c r="E4" s="9" t="str">
        <x:v>ETC</x:v>
      </x:c>
      <x:c r="F4" s="9" t="str">
        <x:v>Variance</x:v>
      </x:c>
      <x:c r="G4" s="9" t="str">
        <x:v>Owner</x:v>
      </x:c>
      <x:c r="H4" s="9" t="str">
        <x:v>Evidence</x:v>
      </x:c>
    </x:row>
    <x:row r="5">
      <x:c r="A5" s="23" t="str">
        <x:v>Day 1 / endpoints</x:v>
      </x:c>
      <x:c r="B5" s="32" t="n">
        <x:v>420000</x:v>
      </x:c>
      <x:c r="C5" s="32" t="n">
        <x:v>398000</x:v>
      </x:c>
      <x:c r="D5" s="32" t="n">
        <x:v>205000</x:v>
      </x:c>
      <x:c r="E5" s="32" t="n">
        <x:v>193000</x:v>
      </x:c>
      <x:c r="F5" s="32" t="n">
        <x:f>B5-C5</x:f>
        <x:v>22000</x:v>
      </x:c>
      <x:c r="G5" s="24" t="str">
        <x:v>Day 1 Lead</x:v>
      </x:c>
      <x:c r="H5" s="25" t="str">
        <x:v>PO/invoice/forecast</x:v>
      </x:c>
    </x:row>
    <x:row r="6">
      <x:c r="A6" s="26" t="str">
        <x:v>Network / infrastructure</x:v>
      </x:c>
      <x:c r="B6" s="33" t="n">
        <x:v>365000</x:v>
      </x:c>
      <x:c r="C6" s="33" t="n">
        <x:v>354000</x:v>
      </x:c>
      <x:c r="D6" s="33" t="n">
        <x:v>144000</x:v>
      </x:c>
      <x:c r="E6" s="33" t="n">
        <x:v>210000</x:v>
      </x:c>
      <x:c r="F6" s="33" t="n">
        <x:f>B6-C6</x:f>
        <x:v>11000</x:v>
      </x:c>
      <x:c r="G6" s="27" t="str">
        <x:v>Network Lead</x:v>
      </x:c>
      <x:c r="H6" s="28" t="str">
        <x:v>PO/invoice/forecast</x:v>
      </x:c>
    </x:row>
    <x:row r="7">
      <x:c r="A7" s="26" t="str">
        <x:v>Collaboration migration</x:v>
      </x:c>
      <x:c r="B7" s="33" t="n">
        <x:v>510000</x:v>
      </x:c>
      <x:c r="C7" s="33" t="n">
        <x:v>498000</x:v>
      </x:c>
      <x:c r="D7" s="33" t="n">
        <x:v>221000</x:v>
      </x:c>
      <x:c r="E7" s="33" t="n">
        <x:v>277000</x:v>
      </x:c>
      <x:c r="F7" s="33" t="n">
        <x:f>B7-C7</x:f>
        <x:v>12000</x:v>
      </x:c>
      <x:c r="G7" s="27" t="str">
        <x:v>Collab Lead</x:v>
      </x:c>
      <x:c r="H7" s="28" t="str">
        <x:v>Vendor SOW + forecast</x:v>
      </x:c>
    </x:row>
    <x:row r="8">
      <x:c r="A8" s="26" t="str">
        <x:v>Application rationalization</x:v>
      </x:c>
      <x:c r="B8" s="33" t="n">
        <x:v>280000</x:v>
      </x:c>
      <x:c r="C8" s="33" t="n">
        <x:v>267000</x:v>
      </x:c>
      <x:c r="D8" s="33" t="n">
        <x:v>94000</x:v>
      </x:c>
      <x:c r="E8" s="33" t="n">
        <x:v>173000</x:v>
      </x:c>
      <x:c r="F8" s="33" t="n">
        <x:f>B8-C8</x:f>
        <x:v>13000</x:v>
      </x:c>
      <x:c r="G8" s="27" t="str">
        <x:v>App Lead</x:v>
      </x:c>
      <x:c r="H8" s="28" t="str">
        <x:v>Work packages</x:v>
      </x:c>
    </x:row>
    <x:row r="9">
      <x:c r="A9" s="26" t="str">
        <x:v>Change / support / reserve</x:v>
      </x:c>
      <x:c r="B9" s="33" t="n">
        <x:v>285000</x:v>
      </x:c>
      <x:c r="C9" s="33" t="n">
        <x:v>265000</x:v>
      </x:c>
      <x:c r="D9" s="33" t="n">
        <x:v>101000</x:v>
      </x:c>
      <x:c r="E9" s="33" t="n">
        <x:v>164000</x:v>
      </x:c>
      <x:c r="F9" s="33" t="n">
        <x:f>B9-C9</x:f>
        <x:v>20000</x:v>
      </x:c>
      <x:c r="G9" s="27" t="str">
        <x:v>Program Lead</x:v>
      </x:c>
      <x:c r="H9" s="28" t="str">
        <x:v>Labor/reserve 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f0992bc5bf47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66" hidden="0" customWidth="1"/>
    <x:col min="4" max="4" width="34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Primary-source research register</x:v>
      </x:c>
      <x:c r="B1" s="3"/>
      <x:c r="C1" s="3"/>
      <x:c r="D1" s="3"/>
      <x:c r="E1" s="3"/>
      <x:c r="F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</x:row>
    <x:row r="4" ht="28" customHeight="1">
      <x:c r="A4" s="9" t="str">
        <x:v>Publisher</x:v>
      </x:c>
      <x:c r="B4" s="9" t="str">
        <x:v>Source</x:v>
      </x:c>
      <x:c r="C4" s="9" t="str">
        <x:v>URL</x:v>
      </x:c>
      <x:c r="D4" s="9" t="str">
        <x:v>Use</x:v>
      </x:c>
      <x:c r="E4" s="9" t="str">
        <x:v>Accessed</x:v>
      </x:c>
      <x:c r="F4" s="9" t="str">
        <x:v>Authority</x:v>
      </x:c>
    </x:row>
    <x:row r="5">
      <x:c r="A5" s="23" t="str">
        <x:v>PMI</x:v>
      </x:c>
      <x:c r="B5" s="24" t="str">
        <x:v>PMBOK Guide Eighth Edition</x:v>
      </x:c>
      <x:c r="C5" s="24" t="str">
        <x:v>https://www.pmi.org/standards/pmbok</x:v>
      </x:c>
      <x:c r="D5" s="24" t="str">
        <x:v>Principles, domains, tailoring</x:v>
      </x:c>
      <x:c r="E5" s="24" t="str">
        <x:v>2026-08-25</x:v>
      </x:c>
      <x:c r="F5" s="25" t="str">
        <x:v>Primary</x:v>
      </x:c>
    </x:row>
    <x:row r="6">
      <x:c r="A6" s="26" t="str">
        <x:v>PMI</x:v>
      </x:c>
      <x:c r="B6" s="27" t="str">
        <x:v>Process Groups: A Practice Guide</x:v>
      </x:c>
      <x:c r="C6" s="27" t="str">
        <x:v>https://www.pmi.org/standards/process-groups</x:v>
      </x:c>
      <x:c r="D6" s="27" t="str">
        <x:v>Predictive lifecycle</x:v>
      </x:c>
      <x:c r="E6" s="27" t="str">
        <x:v>2026-08-25</x:v>
      </x:c>
      <x:c r="F6" s="28" t="str">
        <x:v>Primary</x:v>
      </x:c>
    </x:row>
    <x:row r="7">
      <x:c r="A7" s="26" t="str">
        <x:v>PMI</x:v>
      </x:c>
      <x:c r="B7" s="27" t="str">
        <x:v>Agile Practice Guide</x:v>
      </x:c>
      <x:c r="C7" s="27" t="str">
        <x:v>https://www.pmi.org/standards/agile</x:v>
      </x:c>
      <x:c r="D7" s="27" t="str">
        <x:v>Adaptive delivery</x:v>
      </x:c>
      <x:c r="E7" s="27" t="str">
        <x:v>2026-08-25</x:v>
      </x:c>
      <x:c r="F7" s="28" t="str">
        <x:v>Primary</x:v>
      </x:c>
    </x:row>
    <x:row r="8">
      <x:c r="A8" s="26" t="str">
        <x:v>NIST</x:v>
      </x:c>
      <x:c r="B8" s="27" t="str">
        <x:v>Cybersecurity Framework 2.0</x:v>
      </x:c>
      <x:c r="C8" s="27" t="str">
        <x:v>https://www.nist.gov/publications/nist-cybersecurity-framework-csf-20</x:v>
      </x:c>
      <x:c r="D8" s="27" t="str">
        <x:v>Security outcomes</x:v>
      </x:c>
      <x:c r="E8" s="27" t="str">
        <x:v>2026-08-25</x:v>
      </x:c>
      <x:c r="F8" s="28" t="str">
        <x:v>Primary</x:v>
      </x:c>
    </x:row>
    <x:row r="9">
      <x:c r="A9" s="26" t="str">
        <x:v>Microsoft</x:v>
      </x:c>
      <x:c r="B9" s="27" t="str">
        <x:v>Multi-tenant M&amp;A scenarios</x:v>
      </x:c>
      <x:c r="C9" s="27" t="str">
        <x:v>https://learn.microsoft.com/en-us/azure/cloud-adoption-framework/ready/landing-zone/design-area/multi-tenant/scenarios</x:v>
      </x:c>
      <x:c r="D9" s="27" t="str">
        <x:v>Tenant integration</x:v>
      </x:c>
      <x:c r="E9" s="27" t="str">
        <x:v>2026-08-25</x:v>
      </x:c>
      <x:c r="F9" s="28" t="str">
        <x:v>Primary</x:v>
      </x:c>
    </x:row>
    <x:row r="10">
      <x:c r="A10" s="26" t="str">
        <x:v>Google</x:v>
      </x:c>
      <x:c r="B10" s="27" t="str">
        <x:v>Google Workspace migration</x:v>
      </x:c>
      <x:c r="C10" s="27" t="str">
        <x:v>https://workspace.google.com/solutions/migration/</x:v>
      </x:c>
      <x:c r="D10" s="27" t="str">
        <x:v>Workspace planning</x:v>
      </x:c>
      <x:c r="E10" s="27" t="str">
        <x:v>2026-08-25</x:v>
      </x:c>
      <x:c r="F10" s="28" t="str">
        <x:v>Primary</x:v>
      </x:c>
    </x:row>
    <x:row r="11">
      <x:c r="A11" s="26" t="str">
        <x:v>Slack</x:v>
      </x:c>
      <x:c r="B11" s="27" t="str">
        <x:v>Migrate workspaces</x:v>
      </x:c>
      <x:c r="C11" s="27" t="str">
        <x:v>https://slack.com/help/articles/115002532808-Migrate-workspaces-to-an-Enterprise-organization</x:v>
      </x:c>
      <x:c r="D11" s="27" t="str">
        <x:v>Workspace consolidation</x:v>
      </x:c>
      <x:c r="E11" s="27" t="str">
        <x:v>2026-08-25</x:v>
      </x:c>
      <x:c r="F11" s="28" t="str">
        <x:v>Primary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1b4ff38b7ab4d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15" hidden="0" customWidth="1"/>
    <x:col min="5" max="5" width="15" hidden="0" customWidth="1"/>
    <x:col min="6" max="6" width="35" hidden="0" customWidth="1"/>
    <x:col min="7" max="7" width="28" hidden="0" customWidth="1"/>
    <x:col min="8" max="8" width="25" hidden="0" customWidth="1"/>
    <x:col min="9" max="9" width="35" hidden="0" customWidth="1"/>
  </x:cols>
  <x:sheetData>
    <x:row r="1" ht="30" customHeight="1">
      <x:c r="A1" s="3" t="str">
        <x:v>Reusable blank register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9" t="str">
        <x:v>ID</x:v>
      </x:c>
      <x:c r="B4" s="9" t="str">
        <x:v>Item</x:v>
      </x:c>
      <x:c r="C4" s="9" t="str">
        <x:v>Owner</x:v>
      </x:c>
      <x:c r="D4" s="9" t="str">
        <x:v>Due</x:v>
      </x:c>
      <x:c r="E4" s="9" t="str">
        <x:v>State</x:v>
      </x:c>
      <x:c r="F4" s="9" t="str">
        <x:v>Acceptance</x:v>
      </x:c>
      <x:c r="G4" s="9" t="str">
        <x:v>Evidence</x:v>
      </x:c>
      <x:c r="H4" s="9" t="str">
        <x:v>Decision</x:v>
      </x:c>
      <x:c r="I4" s="9" t="str">
        <x:v>Notes</x:v>
      </x:c>
    </x:row>
    <x:row r="5">
      <x:c r="A5" s="23" t="str">
        <x:v>[ENTER]</x:v>
      </x:c>
      <x:c r="B5" s="24" t="str">
        <x:v>[ENTER]</x:v>
      </x:c>
      <x:c r="C5" s="24" t="str">
        <x:v>[ENTER]</x:v>
      </x:c>
      <x:c r="D5" s="24" t="str">
        <x:v>[ENTER]</x:v>
      </x:c>
      <x:c r="E5" s="24" t="str">
        <x:v>[ENTER]</x:v>
      </x:c>
      <x:c r="F5" s="24" t="str">
        <x:v>[ENTER]</x:v>
      </x:c>
      <x:c r="G5" s="24" t="str">
        <x:v>[LINK]</x:v>
      </x:c>
      <x:c r="H5" s="24" t="str">
        <x:v>[ENTER]</x:v>
      </x:c>
      <x:c r="I5" s="25" t="str">
        <x:v>[ENTER]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6cddaae59dd45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M&amp;A IT Integration — Agile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4" t="str">
        <x:v>OUTCOME</x:v>
      </x:c>
      <x:c r="B4" s="34" t="str">
        <x:v>VALUE</x:v>
      </x:c>
      <x:c r="D4" s="34" t="str">
        <x:v>CONTROL</x:v>
      </x:c>
      <x:c r="E4" s="34" t="str">
        <x:v>VALUE</x:v>
      </x:c>
      <x:c r="J4" t="str">
        <x:v>Cohort</x:v>
      </x:c>
      <x:c r="K4" t="str">
        <x:v>Ready</x:v>
      </x:c>
    </x:row>
    <x:row r="5">
      <x:c r="A5" s="36" t="str">
        <x:v>Day 1 ready</x:v>
      </x:c>
      <x:c r="B5" s="40" t="n">
        <x:f>Day1!C9/Day1!B9</x:f>
        <x:v>0.9779411764705882</x:v>
      </x:c>
      <x:c r="D5" s="36" t="str">
        <x:v>Pilot reconciliation</x:v>
      </x:c>
      <x:c r="E5" s="40" t="n">
        <x:f>AVERAGE('Migration Validation'!E5:E8)</x:f>
        <x:v>0.99375</x:v>
      </x:c>
      <x:c r="J5" t="str">
        <x:v>HQ A</x:v>
      </x:c>
      <x:c r="K5" t="n">
        <x:f>Day1!C5</x:f>
        <x:v>272</x:v>
      </x:c>
    </x:row>
    <x:row r="6">
      <x:c r="A6" s="38" t="str">
        <x:v>Authentication</x:v>
      </x:c>
      <x:c r="B6" s="41" t="n">
        <x:f>Day1!D9/Day1!B9</x:f>
        <x:v>0.9911764705882353</x:v>
      </x:c>
      <x:c r="D6" s="38" t="str">
        <x:v>Forecast</x:v>
      </x:c>
      <x:c r="E6" s="43" t="n">
        <x:f>SUM(Budget!C5:C9)</x:f>
        <x:v>1782000</x:v>
      </x:c>
      <x:c r="J6" t="str">
        <x:v>Site B</x:v>
      </x:c>
      <x:c r="K6" t="n">
        <x:f>Day1!C6</x:f>
        <x:v>186</x:v>
      </x:c>
    </x:row>
    <x:row r="7">
      <x:c r="A7" s="38" t="str">
        <x:v>Open RAID</x:v>
      </x:c>
      <x:c r="B7" s="42" t="n">
        <x:f>COUNTIF(RAID!J5:J100,"Open")</x:f>
        <x:v>3</x:v>
      </x:c>
      <x:c r="D7" s="38" t="str">
        <x:v>Forecast variance</x:v>
      </x:c>
      <x:c r="E7" s="43" t="n">
        <x:f>SUM(Budget!F5:F9)</x:f>
        <x:v>78000</x:v>
      </x:c>
      <x:c r="J7" t="str">
        <x:v>Site C</x:v>
      </x:c>
      <x:c r="K7" t="n">
        <x:f>Day1!C7</x:f>
        <x:v>107</x:v>
      </x:c>
    </x:row>
    <x:row r="8">
      <x:c r="A8" s="38" t="str">
        <x:v>Held apps</x:v>
      </x:c>
      <x:c r="B8" s="42" t="n">
        <x:f>COUNTIF(Applications!J5:J100,"Hold")</x:f>
        <x:v>1</x:v>
      </x:c>
      <x:c r="D8" s="38" t="str">
        <x:v>Sprints</x:v>
      </x:c>
      <x:c r="E8" s="42" t="n">
        <x:f>10</x:f>
        <x:v>10</x:v>
      </x:c>
      <x:c r="J8" t="str">
        <x:v>Remote</x:v>
      </x:c>
      <x:c r="K8" t="n">
        <x:f>Day1!C8</x:f>
        <x:v>100</x:v>
      </x:c>
    </x:row>
    <x:row r="9">
      <x:c r="J9" t="str">
        <x:v>Total</x:v>
      </x:c>
      <x:c r="K9" t="n">
        <x:f>Day1!C9</x:f>
        <x:v>665</x:v>
      </x:c>
    </x:row>
    <x:row r="10" ht="34" customHeight="1">
      <x:c r="A10" s="46" t="str">
        <x:v>Decision: keep Jira production cohort on hold; continue accepted Google Workspace and Asana increments; close all 15 Day 1 exceptions with named expiry.</x:v>
      </x:c>
      <x:c r="B10" s="46"/>
      <x:c r="C10" s="46"/>
      <x:c r="D10" s="46"/>
      <x:c r="E10" s="46"/>
      <x:c r="F10" s="46"/>
      <x:c r="G10" s="46"/>
      <x:c r="H10" s="46"/>
    </x:row>
    <x:row r="12">
      <x:c r="A12" s="50" t="str">
        <x:v>Dimension</x:v>
      </x:c>
      <x:c r="B12" s="51" t="str">
        <x:v>Current evidence</x:v>
      </x:c>
      <x:c r="C12" s="51" t="str">
        <x:v>Threshold</x:v>
      </x:c>
      <x:c r="D12" s="51" t="str">
        <x:v>State</x:v>
      </x:c>
      <x:c r="E12" s="51" t="str">
        <x:v>Owner</x:v>
      </x:c>
      <x:c r="F12" s="51" t="str">
        <x:v>Decision / action</x:v>
      </x:c>
      <x:c r="G12" s="51" t="str">
        <x:v>Source</x:v>
      </x:c>
      <x:c r="H12" s="52" t="str">
        <x:v>Confidence</x:v>
      </x:c>
    </x:row>
    <x:row r="13">
      <x:c r="A13" s="20" t="str">
        <x:v>Day 1</x:v>
      </x:c>
      <x:c r="B13" s="21" t="str">
        <x:v>665/680 ready</x:v>
      </x:c>
      <x:c r="C13" s="21" t="str">
        <x:v>&gt;=99% or owned workaround</x:v>
      </x:c>
      <x:c r="D13" s="21" t="str">
        <x:v>Conditional</x:v>
      </x:c>
      <x:c r="E13" s="21" t="str">
        <x:v>Day 1 Lead</x:v>
      </x:c>
      <x:c r="F13" s="21" t="str">
        <x:v>Daily exception burn-down</x:v>
      </x:c>
      <x:c r="G13" s="21" t="str">
        <x:v>Day1</x:v>
      </x:c>
      <x:c r="H13" s="22" t="str">
        <x:v>Scenario</x:v>
      </x:c>
    </x:row>
    <x:row r="14">
      <x:c r="A14" s="20" t="str">
        <x:v>Identity</x:v>
      </x:c>
      <x:c r="B14" s="21" t="str">
        <x:v>674/680 authenticated</x:v>
      </x:c>
      <x:c r="C14" s="21" t="str">
        <x:v>&gt;=99%</x:v>
      </x:c>
      <x:c r="D14" s="21" t="str">
        <x:v>Pass</x:v>
      </x:c>
      <x:c r="E14" s="21" t="str">
        <x:v>Identity Lead</x:v>
      </x:c>
      <x:c r="F14" s="21" t="str">
        <x:v>Monitor temporary bridge expiry</x:v>
      </x:c>
      <x:c r="G14" s="21" t="str">
        <x:v>Day1</x:v>
      </x:c>
      <x:c r="H14" s="22" t="str">
        <x:v>Scenario</x:v>
      </x:c>
    </x:row>
    <x:row r="15">
      <x:c r="A15" s="20" t="str">
        <x:v>Migration</x:v>
      </x:c>
      <x:c r="B15" s="21" t="str">
        <x:v>Jira workflow failed</x:v>
      </x:c>
      <x:c r="C15" s="21" t="str">
        <x:v>&gt;=99.5% plus workflow pass</x:v>
      </x:c>
      <x:c r="D15" s="21" t="str">
        <x:v>Hold</x:v>
      </x:c>
      <x:c r="E15" s="21" t="str">
        <x:v>App Lead</x:v>
      </x:c>
      <x:c r="F15" s="21" t="str">
        <x:v>Fix group/automation mapping</x:v>
      </x:c>
      <x:c r="G15" s="21" t="str">
        <x:v>Migration Validation</x:v>
      </x:c>
      <x:c r="H15" s="22" t="str">
        <x:v>Scenario</x:v>
      </x:c>
    </x:row>
    <x:row r="16">
      <x:c r="A16" s="20" t="str">
        <x:v>Finance</x:v>
      </x:c>
      <x:c r="B16" s="21" t="str">
        <x:v>$1.782M forecast</x:v>
      </x:c>
      <x:c r="C16" s="21" t="str">
        <x:v>Within $1.86M</x:v>
      </x:c>
      <x:c r="D16" s="21" t="str">
        <x:v>Favorable</x:v>
      </x:c>
      <x:c r="E16" s="21" t="str">
        <x:v>Finance Lead</x:v>
      </x:c>
      <x:c r="F16" s="21" t="str">
        <x:v>Protect quality gates</x:v>
      </x:c>
      <x:c r="G16" s="21" t="str">
        <x:v>Budget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a74b38d1f77848b3"/>
  <x:tableParts count="1">
    <x:tablePart xmlns:r="http://schemas.openxmlformats.org/officeDocument/2006/relationships" r:id="R597eefceda3242c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M&amp;A IT Integration — Predictive / Waterfall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4" t="str">
        <x:v>BASELINE</x:v>
      </x:c>
      <x:c r="B4" s="34" t="str">
        <x:v>VALUE</x:v>
      </x:c>
      <x:c r="D4" s="34" t="str">
        <x:v>CONTROL</x:v>
      </x:c>
      <x:c r="E4" s="34" t="str">
        <x:v>VALUE</x:v>
      </x:c>
      <x:c r="J4" t="str">
        <x:v>Account</x:v>
      </x:c>
      <x:c r="K4" t="str">
        <x:v>Forecast</x:v>
      </x:c>
    </x:row>
    <x:row r="5">
      <x:c r="A5" s="36" t="str">
        <x:v>SPI</x:v>
      </x:c>
      <x:c r="B5" s="53" t="n">
        <x:f>0.97</x:f>
        <x:v>0.97</x:v>
      </x:c>
      <x:c r="D5" s="36" t="str">
        <x:v>Open RAID</x:v>
      </x:c>
      <x:c r="E5" s="55" t="n">
        <x:f>COUNTIF(RAID!J5:J100,"Open")</x:f>
        <x:v>3</x:v>
      </x:c>
      <x:c r="J5" t="str">
        <x:v>Day 1</x:v>
      </x:c>
      <x:c r="K5" t="n">
        <x:f>Budget!C5</x:f>
        <x:v>398000</x:v>
      </x:c>
    </x:row>
    <x:row r="6">
      <x:c r="A6" s="38" t="str">
        <x:v>CPI</x:v>
      </x:c>
      <x:c r="B6" s="54" t="n">
        <x:f>1.02</x:f>
        <x:v>1.02</x:v>
      </x:c>
      <x:c r="D6" s="38" t="str">
        <x:v>Held apps</x:v>
      </x:c>
      <x:c r="E6" s="42" t="n">
        <x:f>COUNTIF(Applications!J5:J100,"Hold")</x:f>
        <x:v>1</x:v>
      </x:c>
      <x:c r="J6" t="str">
        <x:v>Network</x:v>
      </x:c>
      <x:c r="K6" t="n">
        <x:f>Budget!C6</x:f>
        <x:v>354000</x:v>
      </x:c>
    </x:row>
    <x:row r="7">
      <x:c r="A7" s="38" t="str">
        <x:v>Forecast</x:v>
      </x:c>
      <x:c r="B7" s="43" t="n">
        <x:f>SUM(Budget!C5:C9)</x:f>
        <x:v>1782000</x:v>
      </x:c>
      <x:c r="D7" s="38" t="str">
        <x:v>Gate week</x:v>
      </x:c>
      <x:c r="E7" s="42" t="n">
        <x:f>12</x:f>
        <x:v>12</x:v>
      </x:c>
      <x:c r="J7" t="str">
        <x:v>Collab</x:v>
      </x:c>
      <x:c r="K7" t="n">
        <x:f>Budget!C7</x:f>
        <x:v>498000</x:v>
      </x:c>
    </x:row>
    <x:row r="8">
      <x:c r="A8" s="38" t="str">
        <x:v>VAC</x:v>
      </x:c>
      <x:c r="B8" s="43" t="n">
        <x:f>SUM(Budget!F5:F9)</x:f>
        <x:v>78000</x:v>
      </x:c>
      <x:c r="D8" s="38" t="str">
        <x:v>Completion week</x:v>
      </x:c>
      <x:c r="E8" s="42" t="n">
        <x:f>24</x:f>
        <x:v>24</x:v>
      </x:c>
      <x:c r="J8" t="str">
        <x:v>Apps</x:v>
      </x:c>
      <x:c r="K8" t="n">
        <x:f>Budget!C8</x:f>
        <x:v>267000</x:v>
      </x:c>
    </x:row>
    <x:row r="9">
      <x:c r="J9" t="str">
        <x:v>Change</x:v>
      </x:c>
      <x:c r="K9" t="n">
        <x:f>Budget!C9</x:f>
        <x:v>265000</x:v>
      </x:c>
    </x:row>
    <x:row r="10" ht="34" customHeight="1">
      <x:c r="A10" s="46" t="str">
        <x:v>Decision: approve conditional Gate 4 only for accepted migration packages; Jira work package remains held under integrated change and quality control.</x:v>
      </x:c>
      <x:c r="B10" s="46"/>
      <x:c r="C10" s="46"/>
      <x:c r="D10" s="46"/>
      <x:c r="E10" s="46"/>
      <x:c r="F10" s="46"/>
      <x:c r="G10" s="46"/>
      <x:c r="H10" s="46"/>
    </x:row>
    <x:row r="12">
      <x:c r="A12" s="50" t="str">
        <x:v>Dimension</x:v>
      </x:c>
      <x:c r="B12" s="51" t="str">
        <x:v>Current evidence</x:v>
      </x:c>
      <x:c r="C12" s="51" t="str">
        <x:v>Threshold</x:v>
      </x:c>
      <x:c r="D12" s="51" t="str">
        <x:v>State</x:v>
      </x:c>
      <x:c r="E12" s="51" t="str">
        <x:v>Owner</x:v>
      </x:c>
      <x:c r="F12" s="51" t="str">
        <x:v>Decision / action</x:v>
      </x:c>
      <x:c r="G12" s="51" t="str">
        <x:v>Source</x:v>
      </x:c>
      <x:c r="H12" s="52" t="str">
        <x:v>Confidence</x:v>
      </x:c>
    </x:row>
    <x:row r="13">
      <x:c r="A13" s="20" t="str">
        <x:v>Scope</x:v>
      </x:c>
      <x:c r="B13" s="21" t="str">
        <x:v>142 apps discovered</x:v>
      </x:c>
      <x:c r="C13" s="21" t="str">
        <x:v>100% owner/disposition</x:v>
      </x:c>
      <x:c r="D13" s="21" t="str">
        <x:v>Watch</x:v>
      </x:c>
      <x:c r="E13" s="21" t="str">
        <x:v>App Lead</x:v>
      </x:c>
      <x:c r="F13" s="21" t="str">
        <x:v>Resolve five Tier 2 owners</x:v>
      </x:c>
      <x:c r="G13" s="21" t="str">
        <x:v>Applications</x:v>
      </x:c>
      <x:c r="H13" s="22" t="str">
        <x:v>Scenario</x:v>
      </x:c>
    </x:row>
    <x:row r="14">
      <x:c r="A14" s="20" t="str">
        <x:v>Schedule</x:v>
      </x:c>
      <x:c r="B14" s="21" t="str">
        <x:v>SPI 0.97</x:v>
      </x:c>
      <x:c r="C14" s="21" t="str">
        <x:v>&gt;=0.95</x:v>
      </x:c>
      <x:c r="D14" s="21" t="str">
        <x:v>Watch</x:v>
      </x:c>
      <x:c r="E14" s="21" t="str">
        <x:v>Program Lead</x:v>
      </x:c>
      <x:c r="F14" s="21" t="str">
        <x:v>Protect critical path</x:v>
      </x:c>
      <x:c r="G14" s="21" t="str">
        <x:v>IMS</x:v>
      </x:c>
      <x:c r="H14" s="22" t="str">
        <x:v>Scenario</x:v>
      </x:c>
    </x:row>
    <x:row r="15">
      <x:c r="A15" s="20" t="str">
        <x:v>Quality</x:v>
      </x:c>
      <x:c r="B15" s="21" t="str">
        <x:v>Jira pilot failed</x:v>
      </x:c>
      <x:c r="C15" s="21" t="str">
        <x:v>Workflow regression pass</x:v>
      </x:c>
      <x:c r="D15" s="21" t="str">
        <x:v>Hold</x:v>
      </x:c>
      <x:c r="E15" s="21" t="str">
        <x:v>Quality Lead</x:v>
      </x:c>
      <x:c r="F15" s="21" t="str">
        <x:v>Correct and retest</x:v>
      </x:c>
      <x:c r="G15" s="21" t="str">
        <x:v>Migration Validation</x:v>
      </x:c>
      <x:c r="H15" s="22" t="str">
        <x:v>Scenario</x:v>
      </x:c>
    </x:row>
    <x:row r="16">
      <x:c r="A16" s="20" t="str">
        <x:v>Cost</x:v>
      </x:c>
      <x:c r="B16" s="21" t="str">
        <x:v>CPI 1.02</x:v>
      </x:c>
      <x:c r="C16" s="21" t="str">
        <x:v>&gt;=0.95</x:v>
      </x:c>
      <x:c r="D16" s="21" t="str">
        <x:v>Favorable</x:v>
      </x:c>
      <x:c r="E16" s="21" t="str">
        <x:v>Finance Lead</x:v>
      </x:c>
      <x:c r="F16" s="21" t="str">
        <x:v>Maintain reserve</x:v>
      </x:c>
      <x:c r="G16" s="21" t="str">
        <x:v>Budget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1d07e52c570d4e87"/>
  <x:tableParts count="1">
    <x:tablePart xmlns:r="http://schemas.openxmlformats.org/officeDocument/2006/relationships" r:id="R035af47e7e6548e0"/>
  </x:tableParts>
</x:worksheet>
</file>